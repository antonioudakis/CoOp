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60" windowWidth="14355" windowHeight="6210" activeTab="3"/>
  </bookViews>
  <sheets>
    <sheet name="Universities" sheetId="2" r:id="rId1"/>
    <sheet name="Departments" sheetId="1" r:id="rId2"/>
    <sheet name="Languages" sheetId="3" r:id="rId3"/>
    <sheet name="Literals" sheetId="4" r:id="rId4"/>
    <sheet name="Multilinguals" sheetId="5" r:id="rId5"/>
  </sheets>
  <externalReferences>
    <externalReference r:id="rId6"/>
  </externalReferences>
  <calcPr calcId="125725"/>
</workbook>
</file>

<file path=xl/calcChain.xml><?xml version="1.0" encoding="utf-8"?>
<calcChain xmlns="http://schemas.openxmlformats.org/spreadsheetml/2006/main">
  <c r="C2" i="1"/>
  <c r="C3"/>
  <c r="C4"/>
  <c r="C5"/>
  <c r="C6"/>
  <c r="C7"/>
  <c r="C8"/>
  <c r="C9"/>
  <c r="C10"/>
  <c r="E2"/>
  <c r="E3"/>
  <c r="E4"/>
  <c r="E5"/>
  <c r="E6"/>
  <c r="E7"/>
  <c r="E8"/>
  <c r="E9"/>
  <c r="E10"/>
  <c r="E6" i="4"/>
  <c r="E7"/>
  <c r="E17"/>
  <c r="E18"/>
  <c r="E19"/>
  <c r="E20"/>
  <c r="E21"/>
  <c r="E16"/>
  <c r="B4" i="5"/>
  <c r="B5"/>
  <c r="B6"/>
  <c r="B7"/>
  <c r="B8"/>
  <c r="B9"/>
  <c r="B10"/>
  <c r="B11"/>
  <c r="E8" i="4"/>
  <c r="E9"/>
  <c r="E10"/>
  <c r="E11"/>
  <c r="E12"/>
  <c r="E13"/>
  <c r="E14"/>
  <c r="E15"/>
  <c r="B2" i="5"/>
  <c r="B3"/>
  <c r="E5" i="4"/>
  <c r="C2" i="2"/>
  <c r="E4" i="4"/>
  <c r="E2"/>
  <c r="E3"/>
  <c r="M2" i="2"/>
  <c r="B2" i="3"/>
  <c r="C2"/>
  <c r="B3"/>
  <c r="C3"/>
  <c r="A2"/>
  <c r="A3"/>
</calcChain>
</file>

<file path=xl/sharedStrings.xml><?xml version="1.0" encoding="utf-8"?>
<sst xmlns="http://schemas.openxmlformats.org/spreadsheetml/2006/main" count="52" uniqueCount="46">
  <si>
    <t>Σχολή Πολιτικών Μηχανικών</t>
  </si>
  <si>
    <t>Σχολή Μηχανολόγων Μηχανικών</t>
  </si>
  <si>
    <t>Σχολή Ηλεκτρολόγων Μηχανικών &amp; Μηχανικών Υπολογιστών</t>
  </si>
  <si>
    <t>Σχολή Αρχιτεκτόνων Μηχανικών</t>
  </si>
  <si>
    <t>Σχολή Χημικών Μηχανικών</t>
  </si>
  <si>
    <t>Σχολή Αγρονόμων &amp; Τοπογράφων Μηχανικών</t>
  </si>
  <si>
    <t>Σχολή Μηχανικών Μεταλλείων Μεταλλουργών</t>
  </si>
  <si>
    <t>Σχολή Ναυπηγών Μηχανολόγων Μηχανικών</t>
  </si>
  <si>
    <t>Σχολή Εφαρμοσμένων Μαθηματικών &amp; Φυσικών Επιστημών</t>
  </si>
  <si>
    <t>ID</t>
  </si>
  <si>
    <t>School of Civil Engineering</t>
  </si>
  <si>
    <t>School of Mechanical Engineering</t>
  </si>
  <si>
    <t>School of Electrical and Computer Engineering</t>
  </si>
  <si>
    <t>School of Architecture</t>
  </si>
  <si>
    <t>School of Chemical Engineering</t>
  </si>
  <si>
    <t>School of Rural and Surveying Engineering</t>
  </si>
  <si>
    <t>School of Mining Engineering and Metallurgy</t>
  </si>
  <si>
    <t>School of Naval Architecture and Marine Engineering</t>
  </si>
  <si>
    <t>School of Applied Mathematical and Physical Science</t>
  </si>
  <si>
    <t>Εθνικό Μετσόβιο Πολυτεχνείο</t>
  </si>
  <si>
    <t>National Technical University of Athens</t>
  </si>
  <si>
    <t>Name</t>
  </si>
  <si>
    <t>Locale code</t>
  </si>
  <si>
    <t>Is default</t>
  </si>
  <si>
    <t>Number</t>
  </si>
  <si>
    <t>Street</t>
  </si>
  <si>
    <t>P.O.Box</t>
  </si>
  <si>
    <t>City</t>
  </si>
  <si>
    <t>Country</t>
  </si>
  <si>
    <t>Address type</t>
  </si>
  <si>
    <t>Latitude</t>
  </si>
  <si>
    <t>Longtitude</t>
  </si>
  <si>
    <t>Ηρώων Πολυτεχνείου</t>
  </si>
  <si>
    <t>Αθήνα</t>
  </si>
  <si>
    <t>Ελλάς</t>
  </si>
  <si>
    <t>Location ID</t>
  </si>
  <si>
    <t>Location name</t>
  </si>
  <si>
    <t>Text</t>
  </si>
  <si>
    <t>Language ID</t>
  </si>
  <si>
    <t>Language</t>
  </si>
  <si>
    <t>Multilingual ID</t>
  </si>
  <si>
    <t>Default text</t>
  </si>
  <si>
    <t>Default name</t>
  </si>
  <si>
    <t>Name ID</t>
  </si>
  <si>
    <t>University ID</t>
  </si>
  <si>
    <t>University name</t>
  </si>
</sst>
</file>

<file path=xl/styles.xml><?xml version="1.0" encoding="utf-8"?>
<styleSheet xmlns="http://schemas.openxmlformats.org/spreadsheetml/2006/main">
  <numFmts count="1">
    <numFmt numFmtId="168" formatCode="0.000000"/>
  </numFmts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168" fontId="0" fillId="0" borderId="0" xfId="0" applyNumberFormat="1"/>
    <xf numFmtId="0" fontId="0" fillId="0" borderId="0" xfId="0" applyNumberFormat="1"/>
    <xf numFmtId="0" fontId="0" fillId="0" borderId="0" xfId="0" applyBorder="1"/>
    <xf numFmtId="0" fontId="0" fillId="0" borderId="0" xfId="0" applyNumberFormat="1" applyBorder="1"/>
  </cellXfs>
  <cellStyles count="1"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168" formatCode="0.000000"/>
    </dxf>
    <dxf>
      <numFmt numFmtId="168" formatCode="0.0000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itial%20entitie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oles"/>
      <sheetName val="Permissions"/>
      <sheetName val="Entity types"/>
      <sheetName val="Permissions to roles"/>
      <sheetName val="Languages"/>
      <sheetName val="Greek Locations"/>
      <sheetName val="International location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id="2" name="UniversitiesTable" displayName="UniversitiesTable" ref="A1:M2" totalsRowShown="0">
  <autoFilter ref="A1:M2">
    <filterColumn colId="1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</autoFilter>
  <tableColumns count="13">
    <tableColumn id="1" name="ID"/>
    <tableColumn id="17" name="Name ID"/>
    <tableColumn id="2" name="Default name">
      <calculatedColumnFormula>VLOOKUP([Name ID],MultilingualsTable[],2)</calculatedColumnFormula>
    </tableColumn>
    <tableColumn id="5" name="Street"/>
    <tableColumn id="6" name="Number" dataDxfId="5"/>
    <tableColumn id="7" name="P.O.Box" dataDxfId="4"/>
    <tableColumn id="8" name="City"/>
    <tableColumn id="9" name="Country"/>
    <tableColumn id="10" name="Address type"/>
    <tableColumn id="11" name="Latitude" dataDxfId="7"/>
    <tableColumn id="12" name="Longtitude" dataDxfId="6"/>
    <tableColumn id="15" name="Location ID"/>
    <tableColumn id="16" name="Location name">
      <calculatedColumnFormula>VLOOKUP([Location ID],[1]!GreekLocationsTable[#Data],5)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1" name="DepartmentsTable" displayName="DepartmentsTable" ref="A1:E10" totalsRowShown="0">
  <autoFilter ref="A1:E10">
    <filterColumn colId="1"/>
    <filterColumn colId="2"/>
    <filterColumn colId="3"/>
    <filterColumn colId="4"/>
  </autoFilter>
  <tableColumns count="5">
    <tableColumn id="1" name="ID"/>
    <tableColumn id="7" name="University ID"/>
    <tableColumn id="6" name="University name" dataDxfId="0">
      <calculatedColumnFormula>VLOOKUP(DepartmentsTable[[#This Row],[University ID]],UniversitiesTable[],3)</calculatedColumnFormula>
    </tableColumn>
    <tableColumn id="4" name="Name ID"/>
    <tableColumn id="5" name="Default name" dataDxfId="1">
      <calculatedColumnFormula>VLOOKUP([Name ID],MultilingualsTable[],2)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LanguagesTable" displayName="LanguagesTable" ref="A1:C3" totalsRowShown="0">
  <autoFilter ref="A1:C3"/>
  <tableColumns count="3">
    <tableColumn id="1" name="ID">
      <calculatedColumnFormula>[1]!LanguagesTable[#All]</calculatedColumnFormula>
    </tableColumn>
    <tableColumn id="2" name="Name">
      <calculatedColumnFormula>[1]!LanguagesTable[#All]</calculatedColumnFormula>
    </tableColumn>
    <tableColumn id="3" name="Locale code">
      <calculatedColumnFormula>[1]!LanguagesTable[#All]</calculatedColumnFormula>
    </tableColumn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5" name="LiteralsTable" displayName="LiteralsTable" ref="A1:F21" totalsRowShown="0">
  <autoFilter ref="A1:F21">
    <filterColumn colId="5"/>
  </autoFilter>
  <tableColumns count="6">
    <tableColumn id="1" name="ID"/>
    <tableColumn id="2" name="Text"/>
    <tableColumn id="3" name="Is default"/>
    <tableColumn id="4" name="Language ID"/>
    <tableColumn id="5" name="Language" dataDxfId="3">
      <calculatedColumnFormula>VLOOKUP(LiteralsTable[[#This Row],[Language ID]],[1]!LanguagesTable[#Data],2)</calculatedColumnFormula>
    </tableColumn>
    <tableColumn id="6" name="Multilingual ID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6" name="MultilingualsTable" displayName="MultilingualsTable" ref="A1:B11" totalsRowShown="0">
  <autoFilter ref="A1:B11"/>
  <tableColumns count="2">
    <tableColumn id="1" name="ID"/>
    <tableColumn id="2" name="Default text" dataDxfId="2">
      <calculatedColumnFormula>INDEX(LiteralsTable[Text], MATCH(MultilingualsTable[[#This Row],[ID]], LiteralsTable[Multilingual ID],0))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UniversitiesSheet"/>
  <dimension ref="A1:M2"/>
  <sheetViews>
    <sheetView workbookViewId="0">
      <selection activeCell="J2" sqref="J2:K2"/>
    </sheetView>
  </sheetViews>
  <sheetFormatPr defaultRowHeight="15"/>
  <cols>
    <col min="1" max="1" width="5.140625" bestFit="1" customWidth="1"/>
    <col min="2" max="2" width="28.140625" customWidth="1"/>
    <col min="3" max="3" width="29.5703125" customWidth="1"/>
    <col min="4" max="4" width="20.140625" bestFit="1" customWidth="1"/>
    <col min="5" max="5" width="10.5703125" customWidth="1"/>
    <col min="6" max="6" width="10.28515625" bestFit="1" customWidth="1"/>
    <col min="7" max="7" width="6.7109375" bestFit="1" customWidth="1"/>
    <col min="8" max="8" width="10.28515625" bestFit="1" customWidth="1"/>
    <col min="9" max="9" width="14.85546875" bestFit="1" customWidth="1"/>
    <col min="10" max="10" width="10.5703125" bestFit="1" customWidth="1"/>
    <col min="11" max="11" width="12.85546875" bestFit="1" customWidth="1"/>
    <col min="12" max="12" width="13.28515625" customWidth="1"/>
    <col min="13" max="13" width="43.5703125" customWidth="1"/>
  </cols>
  <sheetData>
    <row r="1" spans="1:13">
      <c r="A1" t="s">
        <v>9</v>
      </c>
      <c r="B1" t="s">
        <v>43</v>
      </c>
      <c r="C1" t="s">
        <v>42</v>
      </c>
      <c r="D1" t="s">
        <v>25</v>
      </c>
      <c r="E1" t="s">
        <v>24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35</v>
      </c>
      <c r="M1" t="s">
        <v>36</v>
      </c>
    </row>
    <row r="2" spans="1:13">
      <c r="A2">
        <v>1</v>
      </c>
      <c r="B2">
        <v>1</v>
      </c>
      <c r="C2" t="str">
        <f>VLOOKUP([Name ID],MultilingualsTable[],2)</f>
        <v>Εθνικό Μετσόβιο Πολυτεχνείο</v>
      </c>
      <c r="D2" t="s">
        <v>32</v>
      </c>
      <c r="E2" s="1">
        <v>9</v>
      </c>
      <c r="F2" s="1">
        <v>10682</v>
      </c>
      <c r="G2" t="s">
        <v>33</v>
      </c>
      <c r="H2" t="s">
        <v>34</v>
      </c>
      <c r="I2">
        <v>2</v>
      </c>
      <c r="J2" s="2">
        <v>37.977288999999999</v>
      </c>
      <c r="K2" s="2">
        <v>23.781828000000001</v>
      </c>
      <c r="L2">
        <v>15644</v>
      </c>
      <c r="M2" t="str">
        <f>VLOOKUP([Location ID],[1]!GreekLocationsTable[#Data],5)</f>
        <v>Ζωγράφος,ο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DepartmentsSheet"/>
  <dimension ref="A1:E10"/>
  <sheetViews>
    <sheetView workbookViewId="0">
      <selection activeCell="C2" sqref="C2"/>
    </sheetView>
  </sheetViews>
  <sheetFormatPr defaultRowHeight="15"/>
  <cols>
    <col min="1" max="1" width="5.140625" bestFit="1" customWidth="1"/>
    <col min="2" max="2" width="14.7109375" bestFit="1" customWidth="1"/>
    <col min="3" max="3" width="31.140625" customWidth="1"/>
    <col min="4" max="4" width="10.85546875" bestFit="1" customWidth="1"/>
    <col min="5" max="5" width="55.7109375" bestFit="1" customWidth="1"/>
  </cols>
  <sheetData>
    <row r="1" spans="1:5">
      <c r="A1" t="s">
        <v>9</v>
      </c>
      <c r="B1" t="s">
        <v>44</v>
      </c>
      <c r="C1" t="s">
        <v>45</v>
      </c>
      <c r="D1" t="s">
        <v>43</v>
      </c>
      <c r="E1" t="s">
        <v>42</v>
      </c>
    </row>
    <row r="2" spans="1:5">
      <c r="A2">
        <v>1</v>
      </c>
      <c r="B2">
        <v>1</v>
      </c>
      <c r="C2" s="3" t="str">
        <f>VLOOKUP(DepartmentsTable[[#This Row],[University ID]],UniversitiesTable[],3)</f>
        <v>Εθνικό Μετσόβιο Πολυτεχνείο</v>
      </c>
      <c r="D2">
        <v>2</v>
      </c>
      <c r="E2" s="3" t="str">
        <f>VLOOKUP([Name ID],MultilingualsTable[],2)</f>
        <v>Σχολή Πολιτικών Μηχανικών</v>
      </c>
    </row>
    <row r="3" spans="1:5">
      <c r="A3">
        <v>2</v>
      </c>
      <c r="B3">
        <v>1</v>
      </c>
      <c r="C3" s="3" t="str">
        <f>VLOOKUP(DepartmentsTable[[#This Row],[University ID]],UniversitiesTable[],3)</f>
        <v>Εθνικό Μετσόβιο Πολυτεχνείο</v>
      </c>
      <c r="D3">
        <v>3</v>
      </c>
      <c r="E3" s="3" t="str">
        <f>VLOOKUP([Name ID],MultilingualsTable[],2)</f>
        <v>Σχολή Μηχανολόγων Μηχανικών</v>
      </c>
    </row>
    <row r="4" spans="1:5">
      <c r="A4">
        <v>3</v>
      </c>
      <c r="B4">
        <v>1</v>
      </c>
      <c r="C4" s="3" t="str">
        <f>VLOOKUP(DepartmentsTable[[#This Row],[University ID]],UniversitiesTable[],3)</f>
        <v>Εθνικό Μετσόβιο Πολυτεχνείο</v>
      </c>
      <c r="D4">
        <v>4</v>
      </c>
      <c r="E4" s="3" t="str">
        <f>VLOOKUP([Name ID],MultilingualsTable[],2)</f>
        <v>Σχολή Ηλεκτρολόγων Μηχανικών &amp; Μηχανικών Υπολογιστών</v>
      </c>
    </row>
    <row r="5" spans="1:5">
      <c r="A5">
        <v>4</v>
      </c>
      <c r="B5">
        <v>1</v>
      </c>
      <c r="C5" s="3" t="str">
        <f>VLOOKUP(DepartmentsTable[[#This Row],[University ID]],UniversitiesTable[],3)</f>
        <v>Εθνικό Μετσόβιο Πολυτεχνείο</v>
      </c>
      <c r="D5">
        <v>5</v>
      </c>
      <c r="E5" s="3" t="str">
        <f>VLOOKUP([Name ID],MultilingualsTable[],2)</f>
        <v>Σχολή Αρχιτεκτόνων Μηχανικών</v>
      </c>
    </row>
    <row r="6" spans="1:5">
      <c r="A6">
        <v>5</v>
      </c>
      <c r="B6">
        <v>1</v>
      </c>
      <c r="C6" s="3" t="str">
        <f>VLOOKUP(DepartmentsTable[[#This Row],[University ID]],UniversitiesTable[],3)</f>
        <v>Εθνικό Μετσόβιο Πολυτεχνείο</v>
      </c>
      <c r="D6">
        <v>6</v>
      </c>
      <c r="E6" s="3" t="str">
        <f>VLOOKUP([Name ID],MultilingualsTable[],2)</f>
        <v>Σχολή Χημικών Μηχανικών</v>
      </c>
    </row>
    <row r="7" spans="1:5">
      <c r="A7">
        <v>6</v>
      </c>
      <c r="B7">
        <v>1</v>
      </c>
      <c r="C7" s="3" t="str">
        <f>VLOOKUP(DepartmentsTable[[#This Row],[University ID]],UniversitiesTable[],3)</f>
        <v>Εθνικό Μετσόβιο Πολυτεχνείο</v>
      </c>
      <c r="D7">
        <v>7</v>
      </c>
      <c r="E7" s="3" t="str">
        <f>VLOOKUP([Name ID],MultilingualsTable[],2)</f>
        <v>Σχολή Αγρονόμων &amp; Τοπογράφων Μηχανικών</v>
      </c>
    </row>
    <row r="8" spans="1:5">
      <c r="A8">
        <v>7</v>
      </c>
      <c r="B8">
        <v>1</v>
      </c>
      <c r="C8" s="3" t="str">
        <f>VLOOKUP(DepartmentsTable[[#This Row],[University ID]],UniversitiesTable[],3)</f>
        <v>Εθνικό Μετσόβιο Πολυτεχνείο</v>
      </c>
      <c r="D8">
        <v>8</v>
      </c>
      <c r="E8" s="3" t="str">
        <f>VLOOKUP([Name ID],MultilingualsTable[],2)</f>
        <v>Σχολή Μηχανικών Μεταλλείων Μεταλλουργών</v>
      </c>
    </row>
    <row r="9" spans="1:5">
      <c r="A9">
        <v>8</v>
      </c>
      <c r="B9">
        <v>1</v>
      </c>
      <c r="C9" s="3" t="str">
        <f>VLOOKUP(DepartmentsTable[[#This Row],[University ID]],UniversitiesTable[],3)</f>
        <v>Εθνικό Μετσόβιο Πολυτεχνείο</v>
      </c>
      <c r="D9">
        <v>9</v>
      </c>
      <c r="E9" s="3" t="str">
        <f>VLOOKUP([Name ID],MultilingualsTable[],2)</f>
        <v>Σχολή Ναυπηγών Μηχανολόγων Μηχανικών</v>
      </c>
    </row>
    <row r="10" spans="1:5">
      <c r="A10">
        <v>9</v>
      </c>
      <c r="B10">
        <v>1</v>
      </c>
      <c r="C10" s="3" t="str">
        <f>VLOOKUP(DepartmentsTable[[#This Row],[University ID]],UniversitiesTable[],3)</f>
        <v>Εθνικό Μετσόβιο Πολυτεχνείο</v>
      </c>
      <c r="D10">
        <v>10</v>
      </c>
      <c r="E10" s="3" t="str">
        <f>VLOOKUP([Name ID],MultilingualsTable[],2)</f>
        <v>Σχολή Εφαρμοσμένων Μαθηματικών &amp; Φυσικών Επιστημών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LanguagesSheet"/>
  <dimension ref="A1:C3"/>
  <sheetViews>
    <sheetView workbookViewId="0">
      <selection activeCell="C2" sqref="C2"/>
    </sheetView>
  </sheetViews>
  <sheetFormatPr defaultRowHeight="15"/>
  <cols>
    <col min="1" max="1" width="6.7109375" customWidth="1"/>
    <col min="3" max="3" width="13.42578125" customWidth="1"/>
  </cols>
  <sheetData>
    <row r="1" spans="1:3">
      <c r="A1" t="s">
        <v>9</v>
      </c>
      <c r="B1" t="s">
        <v>21</v>
      </c>
      <c r="C1" t="s">
        <v>22</v>
      </c>
    </row>
    <row r="2" spans="1:3">
      <c r="A2">
        <f>[1]!LanguagesTable[#All]</f>
        <v>1</v>
      </c>
      <c r="B2" t="str">
        <f>[1]!LanguagesTable[#All]</f>
        <v>Ελληνικά</v>
      </c>
      <c r="C2" t="str">
        <f>[1]!LanguagesTable[#All]</f>
        <v>el</v>
      </c>
    </row>
    <row r="3" spans="1:3">
      <c r="A3">
        <f>[1]!LanguagesTable[#All]</f>
        <v>2</v>
      </c>
      <c r="B3" t="str">
        <f>[1]!LanguagesTable[#All]</f>
        <v>English</v>
      </c>
      <c r="C3" t="str">
        <f>[1]!LanguagesTable[#All]</f>
        <v>en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LiteralsSheet"/>
  <dimension ref="A1:F21"/>
  <sheetViews>
    <sheetView tabSelected="1" workbookViewId="0">
      <selection activeCell="F1" sqref="F1"/>
    </sheetView>
  </sheetViews>
  <sheetFormatPr defaultRowHeight="15"/>
  <cols>
    <col min="1" max="1" width="5" customWidth="1"/>
    <col min="2" max="2" width="55.7109375" bestFit="1" customWidth="1"/>
    <col min="3" max="3" width="16.42578125" customWidth="1"/>
    <col min="4" max="4" width="13.85546875" bestFit="1" customWidth="1"/>
    <col min="5" max="5" width="11.7109375" customWidth="1"/>
    <col min="6" max="6" width="16.5703125" bestFit="1" customWidth="1"/>
  </cols>
  <sheetData>
    <row r="1" spans="1:6">
      <c r="A1" t="s">
        <v>9</v>
      </c>
      <c r="B1" t="s">
        <v>37</v>
      </c>
      <c r="C1" t="s">
        <v>23</v>
      </c>
      <c r="D1" t="s">
        <v>38</v>
      </c>
      <c r="E1" t="s">
        <v>39</v>
      </c>
      <c r="F1" t="s">
        <v>40</v>
      </c>
    </row>
    <row r="2" spans="1:6">
      <c r="A2">
        <v>1</v>
      </c>
      <c r="B2" t="s">
        <v>19</v>
      </c>
      <c r="C2" t="b">
        <v>1</v>
      </c>
      <c r="D2">
        <v>1</v>
      </c>
      <c r="E2" s="3" t="str">
        <f>VLOOKUP(LiteralsTable[[#This Row],[Language ID]],[1]!LanguagesTable[#Data],2)</f>
        <v>Ελληνικά</v>
      </c>
      <c r="F2">
        <v>1</v>
      </c>
    </row>
    <row r="3" spans="1:6">
      <c r="A3">
        <v>2</v>
      </c>
      <c r="B3" t="s">
        <v>20</v>
      </c>
      <c r="C3" t="b">
        <v>0</v>
      </c>
      <c r="D3">
        <v>2</v>
      </c>
      <c r="E3" s="3" t="str">
        <f>VLOOKUP(LiteralsTable[[#This Row],[Language ID]],[1]!LanguagesTable[#Data],2)</f>
        <v>English</v>
      </c>
      <c r="F3">
        <v>1</v>
      </c>
    </row>
    <row r="4" spans="1:6">
      <c r="A4" s="4">
        <v>3</v>
      </c>
      <c r="B4" s="4" t="s">
        <v>0</v>
      </c>
      <c r="C4" s="4" t="b">
        <v>1</v>
      </c>
      <c r="D4" s="4">
        <v>1</v>
      </c>
      <c r="E4" s="5" t="str">
        <f>VLOOKUP(LiteralsTable[[#This Row],[Language ID]],[1]!LanguagesTable[#Data],2)</f>
        <v>Ελληνικά</v>
      </c>
      <c r="F4" s="4">
        <v>2</v>
      </c>
    </row>
    <row r="5" spans="1:6">
      <c r="A5" s="4">
        <v>4</v>
      </c>
      <c r="B5" t="s">
        <v>10</v>
      </c>
      <c r="C5" s="4" t="b">
        <v>0</v>
      </c>
      <c r="D5" s="4">
        <v>2</v>
      </c>
      <c r="E5" s="5" t="str">
        <f>VLOOKUP(LiteralsTable[[#This Row],[Language ID]],[1]!LanguagesTable[#Data],2)</f>
        <v>English</v>
      </c>
      <c r="F5" s="4">
        <v>2</v>
      </c>
    </row>
    <row r="6" spans="1:6">
      <c r="A6">
        <v>5</v>
      </c>
      <c r="B6" t="s">
        <v>1</v>
      </c>
      <c r="C6" s="4" t="b">
        <v>1</v>
      </c>
      <c r="D6" s="4">
        <v>1</v>
      </c>
      <c r="E6" s="5" t="str">
        <f>VLOOKUP(LiteralsTable[[#This Row],[Language ID]],[1]!LanguagesTable[#Data],2)</f>
        <v>Ελληνικά</v>
      </c>
      <c r="F6" s="4">
        <v>3</v>
      </c>
    </row>
    <row r="7" spans="1:6">
      <c r="A7">
        <v>6</v>
      </c>
      <c r="B7" t="s">
        <v>11</v>
      </c>
      <c r="C7" s="4" t="b">
        <v>0</v>
      </c>
      <c r="D7" s="4">
        <v>2</v>
      </c>
      <c r="E7" s="5" t="str">
        <f>VLOOKUP(LiteralsTable[[#This Row],[Language ID]],[1]!LanguagesTable[#Data],2)</f>
        <v>English</v>
      </c>
      <c r="F7" s="4">
        <v>3</v>
      </c>
    </row>
    <row r="8" spans="1:6">
      <c r="A8" s="4">
        <v>7</v>
      </c>
      <c r="B8" t="s">
        <v>2</v>
      </c>
      <c r="C8" t="b">
        <v>1</v>
      </c>
      <c r="D8">
        <v>1</v>
      </c>
      <c r="E8" s="3" t="str">
        <f>VLOOKUP(LiteralsTable[[#This Row],[Language ID]],[1]!LanguagesTable[#Data],2)</f>
        <v>Ελληνικά</v>
      </c>
      <c r="F8">
        <v>4</v>
      </c>
    </row>
    <row r="9" spans="1:6">
      <c r="A9" s="4">
        <v>8</v>
      </c>
      <c r="B9" t="s">
        <v>12</v>
      </c>
      <c r="C9" t="b">
        <v>0</v>
      </c>
      <c r="D9">
        <v>2</v>
      </c>
      <c r="E9" s="3" t="str">
        <f>VLOOKUP(LiteralsTable[[#This Row],[Language ID]],[1]!LanguagesTable[#Data],2)</f>
        <v>English</v>
      </c>
      <c r="F9">
        <v>4</v>
      </c>
    </row>
    <row r="10" spans="1:6">
      <c r="A10">
        <v>9</v>
      </c>
      <c r="B10" t="s">
        <v>3</v>
      </c>
      <c r="C10" t="b">
        <v>1</v>
      </c>
      <c r="D10">
        <v>1</v>
      </c>
      <c r="E10" s="3" t="str">
        <f>VLOOKUP(LiteralsTable[[#This Row],[Language ID]],[1]!LanguagesTable[#Data],2)</f>
        <v>Ελληνικά</v>
      </c>
      <c r="F10">
        <v>5</v>
      </c>
    </row>
    <row r="11" spans="1:6">
      <c r="A11">
        <v>10</v>
      </c>
      <c r="B11" t="s">
        <v>13</v>
      </c>
      <c r="C11" t="b">
        <v>0</v>
      </c>
      <c r="D11">
        <v>2</v>
      </c>
      <c r="E11" s="3" t="str">
        <f>VLOOKUP(LiteralsTable[[#This Row],[Language ID]],[1]!LanguagesTable[#Data],2)</f>
        <v>English</v>
      </c>
      <c r="F11">
        <v>5</v>
      </c>
    </row>
    <row r="12" spans="1:6">
      <c r="A12" s="4">
        <v>11</v>
      </c>
      <c r="B12" t="s">
        <v>4</v>
      </c>
      <c r="C12" s="4" t="b">
        <v>1</v>
      </c>
      <c r="D12" s="4">
        <v>1</v>
      </c>
      <c r="E12" s="3" t="str">
        <f>VLOOKUP(LiteralsTable[[#This Row],[Language ID]],[1]!LanguagesTable[#Data],2)</f>
        <v>Ελληνικά</v>
      </c>
      <c r="F12">
        <v>6</v>
      </c>
    </row>
    <row r="13" spans="1:6">
      <c r="A13" s="4">
        <v>12</v>
      </c>
      <c r="B13" t="s">
        <v>14</v>
      </c>
      <c r="C13" s="4" t="b">
        <v>0</v>
      </c>
      <c r="D13" s="4">
        <v>2</v>
      </c>
      <c r="E13" s="3" t="str">
        <f>VLOOKUP(LiteralsTable[[#This Row],[Language ID]],[1]!LanguagesTable[#Data],2)</f>
        <v>English</v>
      </c>
      <c r="F13">
        <v>6</v>
      </c>
    </row>
    <row r="14" spans="1:6">
      <c r="A14">
        <v>13</v>
      </c>
      <c r="B14" t="s">
        <v>5</v>
      </c>
      <c r="C14" t="b">
        <v>1</v>
      </c>
      <c r="D14">
        <v>1</v>
      </c>
      <c r="E14" s="3" t="str">
        <f>VLOOKUP(LiteralsTable[[#This Row],[Language ID]],[1]!LanguagesTable[#Data],2)</f>
        <v>Ελληνικά</v>
      </c>
      <c r="F14">
        <v>7</v>
      </c>
    </row>
    <row r="15" spans="1:6">
      <c r="A15">
        <v>14</v>
      </c>
      <c r="B15" t="s">
        <v>15</v>
      </c>
      <c r="C15" t="b">
        <v>0</v>
      </c>
      <c r="D15">
        <v>2</v>
      </c>
      <c r="E15" s="3" t="str">
        <f>VLOOKUP(LiteralsTable[[#This Row],[Language ID]],[1]!LanguagesTable[#Data],2)</f>
        <v>English</v>
      </c>
      <c r="F15">
        <v>7</v>
      </c>
    </row>
    <row r="16" spans="1:6">
      <c r="A16" s="4">
        <v>15</v>
      </c>
      <c r="B16" t="s">
        <v>6</v>
      </c>
      <c r="C16" t="b">
        <v>1</v>
      </c>
      <c r="D16">
        <v>1</v>
      </c>
      <c r="E16" s="5" t="str">
        <f>VLOOKUP(LiteralsTable[[#This Row],[Language ID]],[1]!LanguagesTable[#Data],2)</f>
        <v>Ελληνικά</v>
      </c>
      <c r="F16" s="4">
        <v>8</v>
      </c>
    </row>
    <row r="17" spans="1:6">
      <c r="A17" s="4">
        <v>16</v>
      </c>
      <c r="B17" t="s">
        <v>16</v>
      </c>
      <c r="C17" t="b">
        <v>0</v>
      </c>
      <c r="D17">
        <v>2</v>
      </c>
      <c r="E17" s="3" t="str">
        <f>VLOOKUP(LiteralsTable[[#This Row],[Language ID]],[1]!LanguagesTable[#Data],2)</f>
        <v>English</v>
      </c>
      <c r="F17">
        <v>8</v>
      </c>
    </row>
    <row r="18" spans="1:6">
      <c r="A18">
        <v>17</v>
      </c>
      <c r="B18" t="s">
        <v>7</v>
      </c>
      <c r="C18" s="4" t="b">
        <v>1</v>
      </c>
      <c r="D18" s="4">
        <v>1</v>
      </c>
      <c r="E18" s="3" t="str">
        <f>VLOOKUP(LiteralsTable[[#This Row],[Language ID]],[1]!LanguagesTable[#Data],2)</f>
        <v>Ελληνικά</v>
      </c>
      <c r="F18">
        <v>9</v>
      </c>
    </row>
    <row r="19" spans="1:6">
      <c r="A19">
        <v>18</v>
      </c>
      <c r="B19" t="s">
        <v>17</v>
      </c>
      <c r="C19" s="4" t="b">
        <v>0</v>
      </c>
      <c r="D19" s="4">
        <v>2</v>
      </c>
      <c r="E19" s="3" t="str">
        <f>VLOOKUP(LiteralsTable[[#This Row],[Language ID]],[1]!LanguagesTable[#Data],2)</f>
        <v>English</v>
      </c>
      <c r="F19">
        <v>9</v>
      </c>
    </row>
    <row r="20" spans="1:6">
      <c r="A20" s="4">
        <v>19</v>
      </c>
      <c r="B20" t="s">
        <v>8</v>
      </c>
      <c r="C20" t="b">
        <v>1</v>
      </c>
      <c r="D20">
        <v>1</v>
      </c>
      <c r="E20" s="3" t="str">
        <f>VLOOKUP(LiteralsTable[[#This Row],[Language ID]],[1]!LanguagesTable[#Data],2)</f>
        <v>Ελληνικά</v>
      </c>
      <c r="F20">
        <v>10</v>
      </c>
    </row>
    <row r="21" spans="1:6">
      <c r="A21" s="4">
        <v>20</v>
      </c>
      <c r="B21" t="s">
        <v>18</v>
      </c>
      <c r="C21" t="b">
        <v>0</v>
      </c>
      <c r="D21">
        <v>2</v>
      </c>
      <c r="E21" s="3" t="str">
        <f>VLOOKUP(LiteralsTable[[#This Row],[Language ID]],[1]!LanguagesTable[#Data],2)</f>
        <v>English</v>
      </c>
      <c r="F21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MultilingualsSheet"/>
  <dimension ref="A1:B11"/>
  <sheetViews>
    <sheetView workbookViewId="0">
      <selection activeCell="A12" sqref="A12"/>
    </sheetView>
  </sheetViews>
  <sheetFormatPr defaultRowHeight="15"/>
  <cols>
    <col min="1" max="1" width="8.7109375" customWidth="1"/>
    <col min="2" max="2" width="53.42578125" customWidth="1"/>
  </cols>
  <sheetData>
    <row r="1" spans="1:2">
      <c r="A1" t="s">
        <v>9</v>
      </c>
      <c r="B1" t="s">
        <v>41</v>
      </c>
    </row>
    <row r="2" spans="1:2">
      <c r="A2">
        <v>1</v>
      </c>
      <c r="B2" s="3" t="str">
        <f>INDEX(LiteralsTable[Text], MATCH(MultilingualsTable[[#This Row],[ID]], LiteralsTable[Multilingual ID],0))</f>
        <v>Εθνικό Μετσόβιο Πολυτεχνείο</v>
      </c>
    </row>
    <row r="3" spans="1:2">
      <c r="A3" s="4">
        <v>2</v>
      </c>
      <c r="B3" s="5" t="str">
        <f>INDEX(LiteralsTable[Text], MATCH(MultilingualsTable[[#This Row],[ID]], LiteralsTable[Multilingual ID],0))</f>
        <v>Σχολή Πολιτικών Μηχανικών</v>
      </c>
    </row>
    <row r="4" spans="1:2">
      <c r="A4">
        <v>3</v>
      </c>
      <c r="B4" s="3" t="str">
        <f>INDEX(LiteralsTable[Text], MATCH(MultilingualsTable[[#This Row],[ID]], LiteralsTable[Multilingual ID],0))</f>
        <v>Σχολή Μηχανολόγων Μηχανικών</v>
      </c>
    </row>
    <row r="5" spans="1:2">
      <c r="A5" s="4">
        <v>4</v>
      </c>
      <c r="B5" s="3" t="str">
        <f>INDEX(LiteralsTable[Text], MATCH(MultilingualsTable[[#This Row],[ID]], LiteralsTable[Multilingual ID],0))</f>
        <v>Σχολή Ηλεκτρολόγων Μηχανικών &amp; Μηχανικών Υπολογιστών</v>
      </c>
    </row>
    <row r="6" spans="1:2">
      <c r="A6">
        <v>5</v>
      </c>
      <c r="B6" s="3" t="str">
        <f>INDEX(LiteralsTable[Text], MATCH(MultilingualsTable[[#This Row],[ID]], LiteralsTable[Multilingual ID],0))</f>
        <v>Σχολή Αρχιτεκτόνων Μηχανικών</v>
      </c>
    </row>
    <row r="7" spans="1:2">
      <c r="A7" s="4">
        <v>6</v>
      </c>
      <c r="B7" s="3" t="str">
        <f>INDEX(LiteralsTable[Text], MATCH(MultilingualsTable[[#This Row],[ID]], LiteralsTable[Multilingual ID],0))</f>
        <v>Σχολή Χημικών Μηχανικών</v>
      </c>
    </row>
    <row r="8" spans="1:2">
      <c r="A8">
        <v>7</v>
      </c>
      <c r="B8" s="3" t="str">
        <f>INDEX(LiteralsTable[Text], MATCH(MultilingualsTable[[#This Row],[ID]], LiteralsTable[Multilingual ID],0))</f>
        <v>Σχολή Αγρονόμων &amp; Τοπογράφων Μηχανικών</v>
      </c>
    </row>
    <row r="9" spans="1:2">
      <c r="A9" s="4">
        <v>8</v>
      </c>
      <c r="B9" s="3" t="str">
        <f>INDEX(LiteralsTable[Text], MATCH(MultilingualsTable[[#This Row],[ID]], LiteralsTable[Multilingual ID],0))</f>
        <v>Σχολή Μηχανικών Μεταλλείων Μεταλλουργών</v>
      </c>
    </row>
    <row r="10" spans="1:2">
      <c r="A10">
        <v>9</v>
      </c>
      <c r="B10" s="3" t="str">
        <f>INDEX(LiteralsTable[Text], MATCH(MultilingualsTable[[#This Row],[ID]], LiteralsTable[Multilingual ID],0))</f>
        <v>Σχολή Ναυπηγών Μηχανολόγων Μηχανικών</v>
      </c>
    </row>
    <row r="11" spans="1:2">
      <c r="A11" s="4">
        <v>10</v>
      </c>
      <c r="B11" s="3" t="str">
        <f>INDEX(LiteralsTable[Text], MATCH(MultilingualsTable[[#This Row],[ID]], LiteralsTable[Multilingual ID],0))</f>
        <v>Σχολή Εφαρμοσμένων Μαθηματικών &amp; Φυσικών Επιστημών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Universities</vt:lpstr>
      <vt:lpstr>Departments</vt:lpstr>
      <vt:lpstr>Languages</vt:lpstr>
      <vt:lpstr>Literals</vt:lpstr>
      <vt:lpstr>Multilinguals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manolis</dc:creator>
  <cp:lastModifiedBy>manolis</cp:lastModifiedBy>
  <dcterms:created xsi:type="dcterms:W3CDTF">2012-01-16T14:19:17Z</dcterms:created>
  <dcterms:modified xsi:type="dcterms:W3CDTF">2012-01-16T18:22:49Z</dcterms:modified>
</cp:coreProperties>
</file>