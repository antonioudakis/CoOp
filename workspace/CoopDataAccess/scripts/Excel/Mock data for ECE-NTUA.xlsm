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5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45" windowWidth="15315" windowHeight="7995" activeTab="1"/>
  </bookViews>
  <sheets>
    <sheet name="Lessons" sheetId="5" r:id="rId1"/>
    <sheet name="Co-ops" sheetId="1" r:id="rId2"/>
    <sheet name="Literals" sheetId="2" r:id="rId3"/>
    <sheet name="Multilinguals" sheetId="3" r:id="rId4"/>
    <sheet name="Professors" sheetId="4" r:id="rId5"/>
  </sheets>
  <externalReferences>
    <externalReference r:id="rId6"/>
    <externalReference r:id="rId7"/>
  </externalReferences>
  <calcPr calcId="125725"/>
</workbook>
</file>

<file path=xl/calcChain.xml><?xml version="1.0" encoding="utf-8"?>
<calcChain xmlns="http://schemas.openxmlformats.org/spreadsheetml/2006/main">
  <c r="E2" i="1"/>
  <c r="E3"/>
  <c r="E2" i="5"/>
  <c r="C2"/>
  <c r="E7" i="2"/>
  <c r="E6"/>
  <c r="B4" i="3"/>
  <c r="T2" i="1"/>
  <c r="T3"/>
  <c r="B3" i="3"/>
  <c r="C3" i="1" s="1"/>
  <c r="B2" i="3"/>
  <c r="C2" i="1" s="1"/>
  <c r="E4" i="2"/>
  <c r="E5"/>
  <c r="E3"/>
  <c r="E2"/>
</calcChain>
</file>

<file path=xl/sharedStrings.xml><?xml version="1.0" encoding="utf-8"?>
<sst xmlns="http://schemas.openxmlformats.org/spreadsheetml/2006/main" count="51" uniqueCount="44">
  <si>
    <t>ID</t>
  </si>
  <si>
    <t>Semester</t>
  </si>
  <si>
    <t>Grade policy</t>
  </si>
  <si>
    <t>Is active</t>
  </si>
  <si>
    <t>Start date</t>
  </si>
  <si>
    <t>End date</t>
  </si>
  <si>
    <t>Job duration days</t>
  </si>
  <si>
    <t>Is inside univ.</t>
  </si>
  <si>
    <t>Max group size</t>
  </si>
  <si>
    <t>Is setup</t>
  </si>
  <si>
    <t>Text</t>
  </si>
  <si>
    <t>Is default</t>
  </si>
  <si>
    <t>Language ID</t>
  </si>
  <si>
    <t>Language</t>
  </si>
  <si>
    <t>Multilingual ID</t>
  </si>
  <si>
    <t>Πρακτική άσκηση Χειμερινού 2011-2012</t>
  </si>
  <si>
    <t>Co-op of fall semester 2011-2012</t>
  </si>
  <si>
    <t>Co-op of spring semester 2011-2012</t>
  </si>
  <si>
    <t>Default text</t>
  </si>
  <si>
    <t>Πρακτική άσκηση Εαρινού 2011-2012</t>
  </si>
  <si>
    <t>Name ID</t>
  </si>
  <si>
    <t>Default Name</t>
  </si>
  <si>
    <t>Name</t>
  </si>
  <si>
    <t>Surname</t>
  </si>
  <si>
    <t>Gender</t>
  </si>
  <si>
    <t>Preferred lang ID</t>
  </si>
  <si>
    <t>Ευγένιος</t>
  </si>
  <si>
    <t>Πρίφτης</t>
  </si>
  <si>
    <t>Rank</t>
  </si>
  <si>
    <t>Chancellor</t>
  </si>
  <si>
    <t>User name</t>
  </si>
  <si>
    <t>Department ID</t>
  </si>
  <si>
    <t>Professor ID</t>
  </si>
  <si>
    <t>Professor name</t>
  </si>
  <si>
    <t>Acad. year</t>
  </si>
  <si>
    <t>Is group</t>
  </si>
  <si>
    <t>Has group grade</t>
  </si>
  <si>
    <t>priftis@ntua.gr</t>
  </si>
  <si>
    <t>Πρακτική άσκηση</t>
  </si>
  <si>
    <t>Co-op</t>
  </si>
  <si>
    <t>Department</t>
  </si>
  <si>
    <t>Lesson ID</t>
  </si>
  <si>
    <t>Lesson</t>
  </si>
  <si>
    <t>In registration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</si>
</sst>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charset val="161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0" fontId="0" fillId="0" borderId="0" xfId="0" applyNumberFormat="1"/>
    <xf numFmtId="0" fontId="0" fillId="0" borderId="0" xfId="0" applyBorder="1"/>
    <xf numFmtId="0" fontId="0" fillId="0" borderId="0" xfId="0" applyNumberFormat="1" applyBorder="1"/>
  </cellXfs>
  <cellStyles count="1">
    <cellStyle name="Normal" xfId="0" builtinId="0"/>
  </cellStyles>
  <dxfs count="8">
    <dxf>
      <numFmt numFmtId="0" formatCode="General"/>
    </dxf>
    <dxf>
      <numFmt numFmtId="0" formatCode="General"/>
    </dxf>
    <dxf>
      <numFmt numFmtId="0" formatCode="General"/>
    </dxf>
    <dxf>
      <numFmt numFmtId="19" formatCode="d/m/yyyy"/>
    </dxf>
    <dxf>
      <numFmt numFmtId="19" formatCode="d/m/yyyy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University%20initialization%20for%20NTU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Initial%20entities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Universities"/>
      <sheetName val="Departments"/>
      <sheetName val="Divisions"/>
      <sheetName val="Languages"/>
      <sheetName val="Literals"/>
      <sheetName val="Multilinguals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Roles"/>
      <sheetName val="Permissions"/>
      <sheetName val="Entity types"/>
      <sheetName val="Permissions to roles"/>
      <sheetName val="Languages"/>
      <sheetName val="Greek Locations"/>
      <sheetName val="International locations"/>
      <sheetName val="Nationalities"/>
      <sheetName val="Activity sectors"/>
      <sheetName val="Report types"/>
      <sheetName val="Literals"/>
      <sheetName val="Multilinguals"/>
      <sheetName val="Report scopes"/>
      <sheetName val="Roles to report typ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tables/table1.xml><?xml version="1.0" encoding="utf-8"?>
<table xmlns="http://schemas.openxmlformats.org/spreadsheetml/2006/main" id="5" name="LessonsTable" displayName="LessonsTable" ref="A1:E2" totalsRowShown="0">
  <autoFilter ref="A1:E2">
    <filterColumn colId="3"/>
    <filterColumn colId="4"/>
  </autoFilter>
  <tableColumns count="5">
    <tableColumn id="1" name="ID"/>
    <tableColumn id="2" name="Name ID"/>
    <tableColumn id="3" name="Name">
      <calculatedColumnFormula>VLOOKUP([Name ID],MultilingualsTable[],2)</calculatedColumnFormula>
    </tableColumn>
    <tableColumn id="4" name="Department ID"/>
    <tableColumn id="5" name="Department">
      <calculatedColumnFormula>VLOOKUP([Department ID],[1]!DepartmentsTable[#Data],5)</calculatedColumnFormula>
    </tableColumn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id="1" name="coopsTable" displayName="coopsTable" ref="A1:T3" totalsRowShown="0">
  <autoFilter ref="A1:T3">
    <filterColumn colId="2"/>
    <filterColumn colId="3"/>
    <filterColumn colId="4"/>
    <filterColumn colId="18"/>
    <filterColumn colId="19"/>
  </autoFilter>
  <tableColumns count="20">
    <tableColumn id="1" name="ID"/>
    <tableColumn id="2" name="Name ID"/>
    <tableColumn id="17" name="Default Name" dataDxfId="7">
      <calculatedColumnFormula>VLOOKUP([Name ID],MultilingualsTable[],2)</calculatedColumnFormula>
    </tableColumn>
    <tableColumn id="21" name="Lesson ID" dataDxfId="6"/>
    <tableColumn id="14" name="Lesson" dataDxfId="5">
      <calculatedColumnFormula>VLOOKUP(coopsTable[[#This Row],[Lesson ID]],LessonsTable[],3)</calculatedColumnFormula>
    </tableColumn>
    <tableColumn id="3" name="Acad. year"/>
    <tableColumn id="4" name="Semester"/>
    <tableColumn id="5" name="Grade policy"/>
    <tableColumn id="6" name="Is active"/>
    <tableColumn id="7" name="Is group"/>
    <tableColumn id="8" name="Has group grade"/>
    <tableColumn id="9" name="Start date" dataDxfId="4"/>
    <tableColumn id="10" name="End date" dataDxfId="3"/>
    <tableColumn id="11" name="Job duration days"/>
    <tableColumn id="12" name="Is inside univ."/>
    <tableColumn id="13" name="Max group size"/>
    <tableColumn id="15" name="Is setup"/>
    <tableColumn id="16" name="In registration"/>
    <tableColumn id="18" name="Professor ID"/>
    <tableColumn id="19" name="Professor name" dataDxfId="2">
      <calculatedColumnFormula>VLOOKUP(coopsTable[[#This Row],[Professor ID]],ProfessorsTable[#Data], 3)</calculatedColumnFormula>
    </tableColumn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id="2" name="LiteralsTable" displayName="LiteralsTable" ref="A1:F7" totalsRowShown="0">
  <autoFilter ref="A1:F7"/>
  <tableColumns count="6">
    <tableColumn id="1" name="ID"/>
    <tableColumn id="2" name="Text"/>
    <tableColumn id="3" name="Is default"/>
    <tableColumn id="4" name="Language ID"/>
    <tableColumn id="5" name="Language" dataDxfId="1">
      <calculatedColumnFormula>VLOOKUP(LiteralsTable[[#This Row],[Language ID]],[2]!LanguagesTable[#Data],2)</calculatedColumnFormula>
    </tableColumn>
    <tableColumn id="6" name="Multilingual ID"/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id="3" name="MultilingualsTable" displayName="MultilingualsTable" ref="A1:B4" totalsRowShown="0">
  <autoFilter ref="A1:B4"/>
  <tableColumns count="2">
    <tableColumn id="1" name="ID"/>
    <tableColumn id="2" name="Default text" dataDxfId="0">
      <calculatedColumnFormula>INDEX(LiteralsTable[Text], MATCH(MultilingualsTable[[#This Row],[ID]], LiteralsTable[Multilingual ID],0))</calculatedColumnFormula>
    </tableColumn>
  </tableColumns>
  <tableStyleInfo name="TableStyleMedium14" showFirstColumn="0" showLastColumn="0" showRowStripes="1" showColumnStripes="0"/>
</table>
</file>

<file path=xl/tables/table5.xml><?xml version="1.0" encoding="utf-8"?>
<table xmlns="http://schemas.openxmlformats.org/spreadsheetml/2006/main" id="4" name="ProfessorsTable" displayName="ProfessorsTable" ref="A1:H2" totalsRowShown="0">
  <autoFilter ref="A1:H2">
    <filterColumn colId="4"/>
    <filterColumn colId="5"/>
    <filterColumn colId="6"/>
  </autoFilter>
  <tableColumns count="8">
    <tableColumn id="1" name="ID"/>
    <tableColumn id="2" name="Name"/>
    <tableColumn id="3" name="Surname"/>
    <tableColumn id="4" name="Gender"/>
    <tableColumn id="7" name="Rank"/>
    <tableColumn id="8" name="User name" dataCellStyle="Normal"/>
    <tableColumn id="9" name="Department ID"/>
    <tableColumn id="5" name="Preferred lang ID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LessonsSheet"/>
  <dimension ref="A1:E2"/>
  <sheetViews>
    <sheetView workbookViewId="0">
      <selection activeCell="E5" sqref="E5"/>
    </sheetView>
  </sheetViews>
  <sheetFormatPr defaultRowHeight="15"/>
  <cols>
    <col min="1" max="1" width="5.140625" bestFit="1" customWidth="1"/>
    <col min="2" max="2" width="11.28515625" customWidth="1"/>
    <col min="3" max="3" width="16.7109375" bestFit="1" customWidth="1"/>
    <col min="4" max="4" width="16.42578125" bestFit="1" customWidth="1"/>
    <col min="5" max="5" width="55.7109375" bestFit="1" customWidth="1"/>
  </cols>
  <sheetData>
    <row r="1" spans="1:5">
      <c r="A1" t="s">
        <v>0</v>
      </c>
      <c r="B1" t="s">
        <v>20</v>
      </c>
      <c r="C1" t="s">
        <v>22</v>
      </c>
      <c r="D1" t="s">
        <v>31</v>
      </c>
      <c r="E1" t="s">
        <v>40</v>
      </c>
    </row>
    <row r="2" spans="1:5">
      <c r="A2">
        <v>101</v>
      </c>
      <c r="B2">
        <v>103</v>
      </c>
      <c r="C2" t="str">
        <f>VLOOKUP([Name ID],MultilingualsTable[],2)</f>
        <v>Πρακτική άσκηση</v>
      </c>
      <c r="D2">
        <v>3</v>
      </c>
      <c r="E2" t="str">
        <f>VLOOKUP([Department ID],[1]!DepartmentsTable[#Data],5)</f>
        <v>Σχολή Ηλεκτρολόγων Μηχανικών &amp; Μηχανικών Υπολογιστών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CoopsSheet"/>
  <dimension ref="A1:T3"/>
  <sheetViews>
    <sheetView tabSelected="1" workbookViewId="0">
      <selection activeCell="G4" sqref="G4"/>
    </sheetView>
  </sheetViews>
  <sheetFormatPr defaultRowHeight="15"/>
  <cols>
    <col min="1" max="1" width="5" customWidth="1"/>
    <col min="2" max="2" width="10.42578125" customWidth="1"/>
    <col min="3" max="3" width="36.85546875" bestFit="1" customWidth="1"/>
    <col min="4" max="4" width="11.5703125" bestFit="1" customWidth="1"/>
    <col min="5" max="5" width="16.7109375" bestFit="1" customWidth="1"/>
    <col min="6" max="6" width="12.28515625" customWidth="1"/>
    <col min="7" max="7" width="11.5703125" customWidth="1"/>
    <col min="8" max="8" width="14.140625" customWidth="1"/>
    <col min="9" max="9" width="10.28515625" customWidth="1"/>
    <col min="10" max="10" width="10" customWidth="1"/>
    <col min="11" max="11" width="17" customWidth="1"/>
    <col min="12" max="12" width="11.7109375" customWidth="1"/>
    <col min="13" max="13" width="10.85546875" customWidth="1"/>
    <col min="14" max="14" width="18.5703125" customWidth="1"/>
    <col min="15" max="15" width="15.28515625" customWidth="1"/>
    <col min="16" max="16" width="16.28515625" customWidth="1"/>
    <col min="17" max="17" width="10" customWidth="1"/>
    <col min="18" max="18" width="15.85546875" bestFit="1" customWidth="1"/>
    <col min="19" max="19" width="14" bestFit="1" customWidth="1"/>
    <col min="20" max="20" width="17.28515625" bestFit="1" customWidth="1"/>
  </cols>
  <sheetData>
    <row r="1" spans="1:20">
      <c r="A1" t="s">
        <v>0</v>
      </c>
      <c r="B1" t="s">
        <v>20</v>
      </c>
      <c r="C1" t="s">
        <v>21</v>
      </c>
      <c r="D1" t="s">
        <v>41</v>
      </c>
      <c r="E1" t="s">
        <v>42</v>
      </c>
      <c r="F1" t="s">
        <v>34</v>
      </c>
      <c r="G1" t="s">
        <v>1</v>
      </c>
      <c r="H1" t="s">
        <v>2</v>
      </c>
      <c r="I1" t="s">
        <v>3</v>
      </c>
      <c r="J1" t="s">
        <v>35</v>
      </c>
      <c r="K1" t="s">
        <v>36</v>
      </c>
      <c r="L1" t="s">
        <v>4</v>
      </c>
      <c r="M1" t="s">
        <v>5</v>
      </c>
      <c r="N1" t="s">
        <v>6</v>
      </c>
      <c r="O1" t="s">
        <v>7</v>
      </c>
      <c r="P1" t="s">
        <v>8</v>
      </c>
      <c r="Q1" t="s">
        <v>9</v>
      </c>
      <c r="R1" t="s">
        <v>43</v>
      </c>
      <c r="S1" t="s">
        <v>32</v>
      </c>
      <c r="T1" t="s">
        <v>33</v>
      </c>
    </row>
    <row r="2" spans="1:20">
      <c r="A2">
        <v>1</v>
      </c>
      <c r="B2">
        <v>101</v>
      </c>
      <c r="C2" s="2" t="str">
        <f>VLOOKUP([Name ID],MultilingualsTable[],2)</f>
        <v>Πρακτική άσκηση Χειμερινού 2011-2012</v>
      </c>
      <c r="D2" s="2">
        <v>101</v>
      </c>
      <c r="E2" s="2" t="str">
        <f>VLOOKUP(coopsTable[[#This Row],[Lesson ID]],LessonsTable[],3)</f>
        <v>Πρακτική άσκηση</v>
      </c>
      <c r="F2">
        <v>2011</v>
      </c>
      <c r="G2">
        <v>1</v>
      </c>
      <c r="H2">
        <v>0</v>
      </c>
      <c r="I2" t="b">
        <v>0</v>
      </c>
      <c r="J2" t="b">
        <v>1</v>
      </c>
      <c r="K2" t="b">
        <v>0</v>
      </c>
      <c r="L2" s="1">
        <v>40817</v>
      </c>
      <c r="M2" s="1">
        <v>40939</v>
      </c>
      <c r="N2">
        <v>50</v>
      </c>
      <c r="O2" t="b">
        <v>0</v>
      </c>
      <c r="P2">
        <v>4</v>
      </c>
      <c r="Q2" t="b">
        <v>1</v>
      </c>
      <c r="R2" t="b">
        <v>0</v>
      </c>
      <c r="S2">
        <v>101</v>
      </c>
      <c r="T2" s="2" t="str">
        <f>VLOOKUP(coopsTable[[#This Row],[Professor ID]],ProfessorsTable[#Data], 3)</f>
        <v>Πρίφτης</v>
      </c>
    </row>
    <row r="3" spans="1:20">
      <c r="A3">
        <v>2</v>
      </c>
      <c r="B3">
        <v>102</v>
      </c>
      <c r="C3" s="2" t="str">
        <f>VLOOKUP([Name ID],MultilingualsTable[],2)</f>
        <v>Πρακτική άσκηση Εαρινού 2011-2012</v>
      </c>
      <c r="D3" s="2">
        <v>101</v>
      </c>
      <c r="E3" s="2" t="str">
        <f>VLOOKUP(coopsTable[[#This Row],[Lesson ID]],LessonsTable[],3)</f>
        <v>Πρακτική άσκηση</v>
      </c>
      <c r="F3">
        <v>2011</v>
      </c>
      <c r="G3">
        <v>2</v>
      </c>
      <c r="H3">
        <v>0</v>
      </c>
      <c r="I3" t="b">
        <v>1</v>
      </c>
      <c r="J3" t="b">
        <v>1</v>
      </c>
      <c r="K3" t="b">
        <v>0</v>
      </c>
      <c r="L3" s="1">
        <v>40940</v>
      </c>
      <c r="M3" s="1">
        <v>41120</v>
      </c>
      <c r="N3">
        <v>50</v>
      </c>
      <c r="O3" t="b">
        <v>0</v>
      </c>
      <c r="P3">
        <v>4</v>
      </c>
      <c r="Q3" t="b">
        <v>1</v>
      </c>
      <c r="R3" t="b">
        <v>1</v>
      </c>
      <c r="S3">
        <v>101</v>
      </c>
      <c r="T3" s="2" t="str">
        <f>VLOOKUP(coopsTable[[#This Row],[Professor ID]],ProfessorsTable[#Data], 3)</f>
        <v>Πρίφτης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LiteralsSheet"/>
  <dimension ref="A1:F7"/>
  <sheetViews>
    <sheetView workbookViewId="0">
      <selection activeCell="B8" sqref="B8"/>
    </sheetView>
  </sheetViews>
  <sheetFormatPr defaultRowHeight="15"/>
  <cols>
    <col min="1" max="1" width="5.140625" bestFit="1" customWidth="1"/>
    <col min="2" max="2" width="55.7109375" bestFit="1" customWidth="1"/>
    <col min="3" max="3" width="11.5703125" bestFit="1" customWidth="1"/>
    <col min="4" max="4" width="13.85546875" bestFit="1" customWidth="1"/>
    <col min="5" max="5" width="11.5703125" bestFit="1" customWidth="1"/>
    <col min="6" max="6" width="16.5703125" bestFit="1" customWidth="1"/>
  </cols>
  <sheetData>
    <row r="1" spans="1:6">
      <c r="A1" t="s">
        <v>0</v>
      </c>
      <c r="B1" t="s">
        <v>10</v>
      </c>
      <c r="C1" t="s">
        <v>11</v>
      </c>
      <c r="D1" t="s">
        <v>12</v>
      </c>
      <c r="E1" t="s">
        <v>13</v>
      </c>
      <c r="F1" t="s">
        <v>14</v>
      </c>
    </row>
    <row r="2" spans="1:6">
      <c r="A2">
        <v>101</v>
      </c>
      <c r="B2" t="s">
        <v>15</v>
      </c>
      <c r="C2" t="b">
        <v>1</v>
      </c>
      <c r="D2">
        <v>1</v>
      </c>
      <c r="E2" s="2" t="str">
        <f>VLOOKUP(LiteralsTable[[#This Row],[Language ID]],[2]!LanguagesTable[#Data],2)</f>
        <v>Ελληνικά</v>
      </c>
      <c r="F2">
        <v>101</v>
      </c>
    </row>
    <row r="3" spans="1:6">
      <c r="A3">
        <v>102</v>
      </c>
      <c r="B3" t="s">
        <v>16</v>
      </c>
      <c r="C3" t="b">
        <v>0</v>
      </c>
      <c r="D3">
        <v>2</v>
      </c>
      <c r="E3" s="2" t="str">
        <f>VLOOKUP(LiteralsTable[[#This Row],[Language ID]],[2]!LanguagesTable[#Data],2)</f>
        <v>English</v>
      </c>
      <c r="F3">
        <v>101</v>
      </c>
    </row>
    <row r="4" spans="1:6">
      <c r="A4" s="3">
        <v>103</v>
      </c>
      <c r="B4" s="3" t="s">
        <v>19</v>
      </c>
      <c r="C4" s="3" t="b">
        <v>1</v>
      </c>
      <c r="D4" s="3">
        <v>1</v>
      </c>
      <c r="E4" s="4" t="str">
        <f>VLOOKUP(LiteralsTable[[#This Row],[Language ID]],[2]!LanguagesTable[#Data],2)</f>
        <v>Ελληνικά</v>
      </c>
      <c r="F4" s="3">
        <v>102</v>
      </c>
    </row>
    <row r="5" spans="1:6">
      <c r="A5" s="3">
        <v>104</v>
      </c>
      <c r="B5" t="s">
        <v>17</v>
      </c>
      <c r="C5" s="3" t="b">
        <v>0</v>
      </c>
      <c r="D5" s="3">
        <v>2</v>
      </c>
      <c r="E5" s="4" t="str">
        <f>VLOOKUP(LiteralsTable[[#This Row],[Language ID]],[2]!LanguagesTable[#Data],2)</f>
        <v>English</v>
      </c>
      <c r="F5" s="3">
        <v>102</v>
      </c>
    </row>
    <row r="6" spans="1:6">
      <c r="A6" s="3">
        <v>105</v>
      </c>
      <c r="B6" s="3" t="s">
        <v>38</v>
      </c>
      <c r="C6" s="3" t="b">
        <v>1</v>
      </c>
      <c r="D6" s="3">
        <v>1</v>
      </c>
      <c r="E6" s="4" t="str">
        <f>VLOOKUP(LiteralsTable[[#This Row],[Language ID]],[2]!LanguagesTable[#Data],2)</f>
        <v>Ελληνικά</v>
      </c>
      <c r="F6" s="3">
        <v>103</v>
      </c>
    </row>
    <row r="7" spans="1:6">
      <c r="A7" s="3">
        <v>106</v>
      </c>
      <c r="B7" s="3" t="s">
        <v>39</v>
      </c>
      <c r="C7" s="3" t="b">
        <v>0</v>
      </c>
      <c r="D7" s="3">
        <v>2</v>
      </c>
      <c r="E7" s="4" t="str">
        <f>VLOOKUP(LiteralsTable[[#This Row],[Language ID]],[2]!LanguagesTable[#Data],2)</f>
        <v>English</v>
      </c>
      <c r="F7" s="3">
        <v>103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MultilingualsSheet"/>
  <dimension ref="A1:B4"/>
  <sheetViews>
    <sheetView workbookViewId="0">
      <selection activeCell="B4" sqref="B4"/>
    </sheetView>
  </sheetViews>
  <sheetFormatPr defaultRowHeight="15"/>
  <cols>
    <col min="1" max="1" width="5.140625" bestFit="1" customWidth="1"/>
    <col min="2" max="2" width="55.7109375" bestFit="1" customWidth="1"/>
  </cols>
  <sheetData>
    <row r="1" spans="1:2">
      <c r="A1" t="s">
        <v>0</v>
      </c>
      <c r="B1" t="s">
        <v>18</v>
      </c>
    </row>
    <row r="2" spans="1:2">
      <c r="A2">
        <v>101</v>
      </c>
      <c r="B2" s="2" t="str">
        <f>INDEX(LiteralsTable[Text], MATCH(MultilingualsTable[[#This Row],[ID]], LiteralsTable[Multilingual ID],0))</f>
        <v>Πρακτική άσκηση Χειμερινού 2011-2012</v>
      </c>
    </row>
    <row r="3" spans="1:2">
      <c r="A3" s="3">
        <v>102</v>
      </c>
      <c r="B3" s="2" t="str">
        <f>INDEX(LiteralsTable[Text], MATCH(MultilingualsTable[[#This Row],[ID]], LiteralsTable[Multilingual ID],0))</f>
        <v>Πρακτική άσκηση Εαρινού 2011-2012</v>
      </c>
    </row>
    <row r="4" spans="1:2">
      <c r="A4" s="3">
        <v>103</v>
      </c>
      <c r="B4" s="4" t="str">
        <f>INDEX(LiteralsTable[Text], MATCH(MultilingualsTable[[#This Row],[ID]], LiteralsTable[Multilingual ID],0))</f>
        <v>Πρακτική άσκηση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ProfessorsSheet"/>
  <dimension ref="A1:H2"/>
  <sheetViews>
    <sheetView workbookViewId="0">
      <selection activeCell="I16" sqref="I16"/>
    </sheetView>
  </sheetViews>
  <sheetFormatPr defaultRowHeight="15"/>
  <cols>
    <col min="1" max="1" width="5" customWidth="1"/>
    <col min="2" max="2" width="8.7109375" bestFit="1" customWidth="1"/>
    <col min="3" max="3" width="11" customWidth="1"/>
    <col min="4" max="4" width="9.7109375" customWidth="1"/>
    <col min="5" max="5" width="12.42578125" customWidth="1"/>
    <col min="6" max="6" width="14.5703125" bestFit="1" customWidth="1"/>
    <col min="7" max="7" width="16.42578125" bestFit="1" customWidth="1"/>
    <col min="8" max="8" width="18.140625" customWidth="1"/>
  </cols>
  <sheetData>
    <row r="1" spans="1:8">
      <c r="A1" t="s">
        <v>0</v>
      </c>
      <c r="B1" t="s">
        <v>22</v>
      </c>
      <c r="C1" t="s">
        <v>23</v>
      </c>
      <c r="D1" t="s">
        <v>24</v>
      </c>
      <c r="E1" t="s">
        <v>28</v>
      </c>
      <c r="F1" t="s">
        <v>30</v>
      </c>
      <c r="G1" t="s">
        <v>31</v>
      </c>
      <c r="H1" t="s">
        <v>25</v>
      </c>
    </row>
    <row r="2" spans="1:8">
      <c r="A2">
        <v>101</v>
      </c>
      <c r="B2" t="s">
        <v>26</v>
      </c>
      <c r="C2" t="s">
        <v>27</v>
      </c>
      <c r="D2">
        <v>0</v>
      </c>
      <c r="E2" t="s">
        <v>29</v>
      </c>
      <c r="F2" t="s">
        <v>37</v>
      </c>
      <c r="G2">
        <v>3</v>
      </c>
      <c r="H2">
        <v>1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Lessons</vt:lpstr>
      <vt:lpstr>Co-ops</vt:lpstr>
      <vt:lpstr>Literals</vt:lpstr>
      <vt:lpstr>Multilinguals</vt:lpstr>
      <vt:lpstr>Professors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manolis</dc:creator>
  <cp:lastModifiedBy>manolis</cp:lastModifiedBy>
  <dcterms:created xsi:type="dcterms:W3CDTF">2012-02-28T13:53:17Z</dcterms:created>
  <dcterms:modified xsi:type="dcterms:W3CDTF">2012-06-19T10:08:12Z</dcterms:modified>
</cp:coreProperties>
</file>