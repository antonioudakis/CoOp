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4355" windowHeight="6210" activeTab="2"/>
  </bookViews>
  <sheets>
    <sheet name="Universities" sheetId="2" r:id="rId1"/>
    <sheet name="Departments" sheetId="1" r:id="rId2"/>
    <sheet name="Divisions" sheetId="6" r:id="rId3"/>
    <sheet name="Languages" sheetId="3" r:id="rId4"/>
    <sheet name="Literals" sheetId="4" r:id="rId5"/>
    <sheet name="Multilinguals" sheetId="5" r:id="rId6"/>
  </sheets>
  <externalReferences>
    <externalReference r:id="rId7"/>
  </externalReferences>
  <calcPr calcId="125725"/>
</workbook>
</file>

<file path=xl/calcChain.xml><?xml version="1.0" encoding="utf-8"?>
<calcChain xmlns="http://schemas.openxmlformats.org/spreadsheetml/2006/main">
  <c r="E98" i="4"/>
  <c r="E99"/>
  <c r="E100"/>
  <c r="E101"/>
  <c r="E90"/>
  <c r="E91"/>
  <c r="E92"/>
  <c r="E93"/>
  <c r="E94"/>
  <c r="E95"/>
  <c r="E96"/>
  <c r="E97"/>
  <c r="E81"/>
  <c r="E82"/>
  <c r="E83"/>
  <c r="E84"/>
  <c r="E85"/>
  <c r="E86"/>
  <c r="E87"/>
  <c r="E88"/>
  <c r="E89"/>
  <c r="E73"/>
  <c r="E72"/>
  <c r="E71"/>
  <c r="E70"/>
  <c r="E74"/>
  <c r="E75"/>
  <c r="E76"/>
  <c r="E77"/>
  <c r="E78"/>
  <c r="E79"/>
  <c r="E80"/>
  <c r="B35" i="5"/>
  <c r="E25" i="6" s="1"/>
  <c r="B36" i="5"/>
  <c r="E26" i="6" s="1"/>
  <c r="B37" i="5"/>
  <c r="E27" i="6" s="1"/>
  <c r="B38" i="5"/>
  <c r="E28" i="6" s="1"/>
  <c r="B39" i="5"/>
  <c r="E29" i="6" s="1"/>
  <c r="B40" i="5"/>
  <c r="E30" i="6" s="1"/>
  <c r="B41" i="5"/>
  <c r="E31" i="6" s="1"/>
  <c r="B42" i="5"/>
  <c r="E32" i="6" s="1"/>
  <c r="B43" i="5"/>
  <c r="E33" i="6" s="1"/>
  <c r="B44" i="5"/>
  <c r="E34" i="6" s="1"/>
  <c r="B45" i="5"/>
  <c r="E35" i="6" s="1"/>
  <c r="B46" i="5"/>
  <c r="E36" i="6" s="1"/>
  <c r="B47" i="5"/>
  <c r="E37" i="6" s="1"/>
  <c r="B48" i="5"/>
  <c r="E38" i="6" s="1"/>
  <c r="B49" i="5"/>
  <c r="E39" i="6" s="1"/>
  <c r="B50" i="5"/>
  <c r="E40" i="6" s="1"/>
  <c r="B51" i="5"/>
  <c r="E41" i="6" s="1"/>
  <c r="B34" i="5"/>
  <c r="E24" i="6" s="1"/>
  <c r="B33" i="5"/>
  <c r="E69" i="4"/>
  <c r="E68"/>
  <c r="E67"/>
  <c r="E66"/>
  <c r="E65"/>
  <c r="E64"/>
  <c r="E63"/>
  <c r="E62"/>
  <c r="E61"/>
  <c r="E60"/>
  <c r="E59"/>
  <c r="E58"/>
  <c r="B24" i="5"/>
  <c r="E14" i="6" s="1"/>
  <c r="B25" i="5"/>
  <c r="E15" i="6" s="1"/>
  <c r="B26" i="5"/>
  <c r="E16" i="6" s="1"/>
  <c r="B27" i="5"/>
  <c r="E17" i="6" s="1"/>
  <c r="B28" i="5"/>
  <c r="E18" i="6" s="1"/>
  <c r="B29" i="5"/>
  <c r="E19" i="6" s="1"/>
  <c r="B30" i="5"/>
  <c r="E20" i="6" s="1"/>
  <c r="B31" i="5"/>
  <c r="E21" i="6" s="1"/>
  <c r="B32" i="5"/>
  <c r="E22" i="6" s="1"/>
  <c r="E57" i="4"/>
  <c r="E56"/>
  <c r="E55"/>
  <c r="E54"/>
  <c r="E53"/>
  <c r="E52"/>
  <c r="E51"/>
  <c r="E50"/>
  <c r="E49"/>
  <c r="E48"/>
  <c r="E47"/>
  <c r="E46"/>
  <c r="E45"/>
  <c r="E44"/>
  <c r="B23" i="5"/>
  <c r="E13" i="6" s="1"/>
  <c r="B22" i="5"/>
  <c r="E12" i="6" s="1"/>
  <c r="B21" i="5"/>
  <c r="E11" i="6" s="1"/>
  <c r="B20" i="5"/>
  <c r="E10" i="6" s="1"/>
  <c r="B19" i="5"/>
  <c r="E9" i="6" s="1"/>
  <c r="B18" i="5"/>
  <c r="E8" i="6" s="1"/>
  <c r="B17" i="5"/>
  <c r="E7" i="6" s="1"/>
  <c r="E43" i="4"/>
  <c r="E42"/>
  <c r="E41"/>
  <c r="E40"/>
  <c r="E39"/>
  <c r="E38"/>
  <c r="E37"/>
  <c r="E36"/>
  <c r="E35"/>
  <c r="E34"/>
  <c r="E33"/>
  <c r="E32"/>
  <c r="B16" i="5"/>
  <c r="B15"/>
  <c r="B14"/>
  <c r="B13"/>
  <c r="E31" i="4"/>
  <c r="E30"/>
  <c r="E29"/>
  <c r="E28"/>
  <c r="E27"/>
  <c r="E26"/>
  <c r="E25"/>
  <c r="E3" i="6"/>
  <c r="E4"/>
  <c r="E5"/>
  <c r="E6"/>
  <c r="B12" i="5"/>
  <c r="E2" i="6" s="1"/>
  <c r="E24" i="4"/>
  <c r="E23"/>
  <c r="E22"/>
  <c r="E6"/>
  <c r="E7"/>
  <c r="E17"/>
  <c r="E18"/>
  <c r="E19"/>
  <c r="E20"/>
  <c r="E21"/>
  <c r="E16"/>
  <c r="B4" i="5"/>
  <c r="E3" i="1" s="1"/>
  <c r="B7" i="6" s="1"/>
  <c r="B5" i="5"/>
  <c r="E4" i="1" s="1"/>
  <c r="B13" i="6" s="1"/>
  <c r="B6" i="5"/>
  <c r="E5" i="1" s="1"/>
  <c r="B21" i="6" s="1"/>
  <c r="B7" i="5"/>
  <c r="E6" i="1" s="1"/>
  <c r="B24" i="6" s="1"/>
  <c r="B8" i="5"/>
  <c r="E7" i="1" s="1"/>
  <c r="B28" i="6" s="1"/>
  <c r="B9" i="5"/>
  <c r="E8" i="1" s="1"/>
  <c r="B32" i="6" s="1"/>
  <c r="B10" i="5"/>
  <c r="E9" i="1" s="1"/>
  <c r="B35" i="6" s="1"/>
  <c r="B11" i="5"/>
  <c r="E10" i="1" s="1"/>
  <c r="B39" i="6" s="1"/>
  <c r="E8" i="4"/>
  <c r="E9"/>
  <c r="E10"/>
  <c r="E11"/>
  <c r="E12"/>
  <c r="E13"/>
  <c r="E14"/>
  <c r="E15"/>
  <c r="B2" i="5"/>
  <c r="C2" i="2" s="1"/>
  <c r="B3" i="5"/>
  <c r="E2" i="1" s="1"/>
  <c r="B2" i="6" s="1"/>
  <c r="E5" i="4"/>
  <c r="E4"/>
  <c r="E2"/>
  <c r="E3"/>
  <c r="M2" i="2"/>
  <c r="B2" i="3"/>
  <c r="C2"/>
  <c r="B3"/>
  <c r="C3"/>
  <c r="A2"/>
  <c r="A3"/>
  <c r="B40" i="6" l="1"/>
  <c r="B38"/>
  <c r="B41"/>
  <c r="B36"/>
  <c r="B34"/>
  <c r="B37"/>
  <c r="B31"/>
  <c r="B33"/>
  <c r="B29"/>
  <c r="B30"/>
  <c r="B26"/>
  <c r="B27"/>
  <c r="B25"/>
  <c r="E23"/>
  <c r="B22"/>
  <c r="B20"/>
  <c r="B23"/>
  <c r="B19"/>
  <c r="B17"/>
  <c r="B15"/>
  <c r="B18"/>
  <c r="B16"/>
  <c r="B14"/>
  <c r="B11"/>
  <c r="B9"/>
  <c r="B12"/>
  <c r="B10"/>
  <c r="B8"/>
  <c r="B3"/>
  <c r="B5"/>
  <c r="B4"/>
  <c r="B6"/>
  <c r="C3" i="1"/>
  <c r="C5"/>
  <c r="C7"/>
  <c r="C9"/>
  <c r="C2"/>
  <c r="C4"/>
  <c r="C6"/>
  <c r="C8"/>
  <c r="C10"/>
</calcChain>
</file>

<file path=xl/sharedStrings.xml><?xml version="1.0" encoding="utf-8"?>
<sst xmlns="http://schemas.openxmlformats.org/spreadsheetml/2006/main" count="137" uniqueCount="131">
  <si>
    <t>Σχολή Πολιτικών Μηχανικών</t>
  </si>
  <si>
    <t>Σχολή Μηχανολόγων Μηχανικών</t>
  </si>
  <si>
    <t>Σχολή Ηλεκτρολόγων Μηχανικών &amp; Μηχανικών Υπολογιστών</t>
  </si>
  <si>
    <t>Σχολή Αρχιτεκτόνων Μηχανικών</t>
  </si>
  <si>
    <t>Σχολή Χημικών Μηχανικών</t>
  </si>
  <si>
    <t>Σχολή Αγρονόμων &amp; Τοπογράφων Μηχανικών</t>
  </si>
  <si>
    <t>Σχολή Μηχανικών Μεταλλείων Μεταλλουργών</t>
  </si>
  <si>
    <t>Σχολή Ναυπηγών Μηχανολόγων Μηχανικών</t>
  </si>
  <si>
    <t>Σχολή Εφαρμοσμένων Μαθηματικών &amp; Φυσικών Επιστημών</t>
  </si>
  <si>
    <t>ID</t>
  </si>
  <si>
    <t>School of Civil Engineering</t>
  </si>
  <si>
    <t>School of Mechanical Engineering</t>
  </si>
  <si>
    <t>School of Electrical and Computer Engineering</t>
  </si>
  <si>
    <t>School of Architecture</t>
  </si>
  <si>
    <t>School of Chemical Engineering</t>
  </si>
  <si>
    <t>School of Rural and Surveying Engineering</t>
  </si>
  <si>
    <t>School of Mining Engineering and Metallurgy</t>
  </si>
  <si>
    <t>School of Naval Architecture and Marine Engineering</t>
  </si>
  <si>
    <t>School of Applied Mathematical and Physical Science</t>
  </si>
  <si>
    <t>Εθνικό Μετσόβιο Πολυτεχνείο</t>
  </si>
  <si>
    <t>National Technical University of Athens</t>
  </si>
  <si>
    <t>Name</t>
  </si>
  <si>
    <t>Locale code</t>
  </si>
  <si>
    <t>Is default</t>
  </si>
  <si>
    <t>Number</t>
  </si>
  <si>
    <t>Street</t>
  </si>
  <si>
    <t>P.O.Box</t>
  </si>
  <si>
    <t>City</t>
  </si>
  <si>
    <t>Country</t>
  </si>
  <si>
    <t>Address type</t>
  </si>
  <si>
    <t>Latitude</t>
  </si>
  <si>
    <t>Longtitude</t>
  </si>
  <si>
    <t>Ηρώων Πολυτεχνείου</t>
  </si>
  <si>
    <t>Αθήνα</t>
  </si>
  <si>
    <t>Ελλάς</t>
  </si>
  <si>
    <t>Location ID</t>
  </si>
  <si>
    <t>Location name</t>
  </si>
  <si>
    <t>Text</t>
  </si>
  <si>
    <t>Language ID</t>
  </si>
  <si>
    <t>Language</t>
  </si>
  <si>
    <t>Multilingual ID</t>
  </si>
  <si>
    <t>Default text</t>
  </si>
  <si>
    <t>Default name</t>
  </si>
  <si>
    <t>Name ID</t>
  </si>
  <si>
    <t>University ID</t>
  </si>
  <si>
    <t>University name</t>
  </si>
  <si>
    <t>Department ID</t>
  </si>
  <si>
    <t>Department default name</t>
  </si>
  <si>
    <t>Division ID</t>
  </si>
  <si>
    <t>Division name ID</t>
  </si>
  <si>
    <t>Division default name</t>
  </si>
  <si>
    <t>Τομέας Δομοστατικής</t>
  </si>
  <si>
    <t>Department of Structural Engineering</t>
  </si>
  <si>
    <t>Τομέας Υδατικών Πόρων και Περιβάλλοντος</t>
  </si>
  <si>
    <t>Department of Water Resources and Environmental Engineering</t>
  </si>
  <si>
    <t>Τομέας Μεταφορών και Συγκοινωνιακής Υποδομής</t>
  </si>
  <si>
    <t>Department of Transportation Planning and Engineering</t>
  </si>
  <si>
    <t>Τομέας Γεωτεχνικής</t>
  </si>
  <si>
    <t>Department of Geotechnical Engineering</t>
  </si>
  <si>
    <t>Department of Planning and Construction Management</t>
  </si>
  <si>
    <t>Τομέας Προγραμματισμού &amp; Διαχείρισης Τεχνικών Έργων</t>
  </si>
  <si>
    <t xml:space="preserve">Τομέας Βιομηχανικής Διοίκησης &amp; Επιχειρησιακής Έρευνας </t>
  </si>
  <si>
    <t xml:space="preserve">Section of Industrial Management &amp; Operational Research </t>
  </si>
  <si>
    <t>Section of Thermal Engineering</t>
  </si>
  <si>
    <t>Τομέας Θερμότητας</t>
  </si>
  <si>
    <t>Τομέας Μηχανολογικών Κατασκευών &amp; Αυτομάτου Ελέγχου</t>
  </si>
  <si>
    <t xml:space="preserve">Section of Mechanical Design &amp; Automatic Control </t>
  </si>
  <si>
    <t>Τομέας Πυρηνικής Τεχνολογίας</t>
  </si>
  <si>
    <t>Section of Nuclear Engineering</t>
  </si>
  <si>
    <t>Τομέας Ρευστών</t>
  </si>
  <si>
    <t>Section of Fluids</t>
  </si>
  <si>
    <t>Τομέας Τεχνολογίας των Κατεργασιών</t>
  </si>
  <si>
    <t>Section of Manufacturing Technology</t>
  </si>
  <si>
    <t>Τομέας Ηλεκτρομαγνητικών Εφαρμογών Ηλεκτροοπτικής και Ηλεκτρονικών Υλικών</t>
  </si>
  <si>
    <t>Division of Electromagnetics, Electrooptics and Electronic Materials</t>
  </si>
  <si>
    <t xml:space="preserve">Division of Information Transmission Systems and Material Technology </t>
  </si>
  <si>
    <t>Τομέας Συστημάτων Μετάδοσης Πληροφορίας και Τεχνολογίας Υλικών</t>
  </si>
  <si>
    <t>Τομέας Σημάτων, Ελέγχου και Ρομποτικής</t>
  </si>
  <si>
    <t>Division of Signals, Control and Robotics</t>
  </si>
  <si>
    <t>Τομέας Τεχνολογίας Πληροφορικής και Υπολογιστών</t>
  </si>
  <si>
    <t>Division of Computer Science</t>
  </si>
  <si>
    <t xml:space="preserve">Division of Communication, Electronic and Information Engineering </t>
  </si>
  <si>
    <t>Τομέας Επικοινωνιών, Ηλεκτρονικής και Συστημάτων Πληροφορικής</t>
  </si>
  <si>
    <t>Τομέας Ηλεκτρικής Ισχύος</t>
  </si>
  <si>
    <t>Division of Electric Power</t>
  </si>
  <si>
    <t>Τομέας Ηλεκτρικών Βιομηχανικών Διατάξεων και Συστημάτων Αποφάσεων</t>
  </si>
  <si>
    <t>Division of Industrial Electric Devices and Decision Systems</t>
  </si>
  <si>
    <t>ΤΟΜΕΑΣ Ι: ΑΡΧΙΤΕΚΤΟΝΙΚΟΥ ΣΧΕΔΙΑΣΜΟΥ</t>
  </si>
  <si>
    <t>ΤΟΜΕΑΣ ΙΙ: ΠΟΛΕΟΔΟΜΙΑΣ ΚΑΙ ΧΩΡΟΤΑΞΙΑΣ</t>
  </si>
  <si>
    <t>ΤΟΜΕΑΣ ΙΙΙ: ΑΡΧΙΤΕΚΤΟΝΙΚΗΣ ΓΛΩΣΣΑΣ ΕΠΙΚΟΙΝΩΝΙΑΣ ΚΑΙ ΣΧΕΔΙΑΣΜΟΥ</t>
  </si>
  <si>
    <t>ΤΟΜΕΑΣ IV: ΣΥΝΘΕΣΕΩΝ ΤΕΧΝΟΛΟΓΙΚΗΣ ΑΙΧΜΗΣ</t>
  </si>
  <si>
    <t>Dept Ι: Architectural Design</t>
  </si>
  <si>
    <t>Dept ΙΙ: Urban and regional planning</t>
  </si>
  <si>
    <t>Dept ΙΙΙ: Architectural language, communication and design</t>
  </si>
  <si>
    <t xml:space="preserve">Dept IV: Architectural technology </t>
  </si>
  <si>
    <t>Τομέας Χημικών Επιστημών</t>
  </si>
  <si>
    <t>Department of Chemical Sciences</t>
  </si>
  <si>
    <t>Τομέας Ανάλυσης, Σχεδιασμού και Ανάπτυξης Διεργασιών και Συστημάτων</t>
  </si>
  <si>
    <t>Department of Process Analysis and Plant Design</t>
  </si>
  <si>
    <t>Τομέας Επιστήμης και Τεχνικής των Υλικών</t>
  </si>
  <si>
    <t>Department of Materials Science and Engineering</t>
  </si>
  <si>
    <t>Department of Synthesis and Development of Industrial Processes</t>
  </si>
  <si>
    <t>Τομέας Σύνθεσης και Ανάπτυξης Βιομηχανικών Διαδικασιών</t>
  </si>
  <si>
    <t>Τομέας Τοπογραφίας</t>
  </si>
  <si>
    <t>Department of Topography</t>
  </si>
  <si>
    <t>Τομέας Γεωγραφίας και Περιφερειακού Σχεδιασμού</t>
  </si>
  <si>
    <t>Department of Geography and Regional Planning</t>
  </si>
  <si>
    <t>Τομέας Έργων Υποδομής και Αγροτικής Ανάπτυξης</t>
  </si>
  <si>
    <t>Department of Infrastructure and Rural Development</t>
  </si>
  <si>
    <t>Τοµέας Μεταλλευτικής</t>
  </si>
  <si>
    <t>Τομέας Μεταλλουργίας &amp; Τεχνολογίας Υλικών</t>
  </si>
  <si>
    <t>Τομέας Γεωλογικών Επιστημών</t>
  </si>
  <si>
    <t>Section of Mining Engineering</t>
  </si>
  <si>
    <t>Section of Metallurgy and Materials Technology</t>
  </si>
  <si>
    <t>Section of Geological Sciences</t>
  </si>
  <si>
    <t xml:space="preserve">Τομέας Μελέτης Πλοίου και Θαλασσίων Μεταφορών </t>
  </si>
  <si>
    <t>Τομέας Ναυτικής και Θαλάσσιας Υδροδυναμικής</t>
  </si>
  <si>
    <t>Τομέας Ναυτικής Μηχανολογίας</t>
  </si>
  <si>
    <t>Τομέας Θαλασσίων Κατασκευών</t>
  </si>
  <si>
    <t>Ship Design &amp; Maritime Transport</t>
  </si>
  <si>
    <t>Ship Hydrodynamics</t>
  </si>
  <si>
    <t>Marine Engineering</t>
  </si>
  <si>
    <t>Marine Structures</t>
  </si>
  <si>
    <t>Τομέας Μαθηματικών</t>
  </si>
  <si>
    <t>Division of Mathematics</t>
  </si>
  <si>
    <t>Τομέας Φυσικής</t>
  </si>
  <si>
    <t>Division of Physics</t>
  </si>
  <si>
    <t>Τομέας Μηχανικής</t>
  </si>
  <si>
    <t>Division of Mechanics</t>
  </si>
  <si>
    <t>Division of Humanities, Social Sciences and Law</t>
  </si>
  <si>
    <t>Τομέας Ανθρωπιστικών Κοινωνικών Επιστημών και Δικαίου</t>
  </si>
</sst>
</file>

<file path=xl/styles.xml><?xml version="1.0" encoding="utf-8"?>
<styleSheet xmlns="http://schemas.openxmlformats.org/spreadsheetml/2006/main">
  <numFmts count="1">
    <numFmt numFmtId="164" formatCode="0.000000"/>
  </numFmts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000"/>
    </dxf>
    <dxf>
      <numFmt numFmtId="164" formatCode="0.000000"/>
    </dxf>
    <dxf>
      <numFmt numFmtId="30" formatCode="@"/>
    </dxf>
    <dxf>
      <numFmt numFmtId="30" formatCode="@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itial%20entiti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oles"/>
      <sheetName val="Permissions"/>
      <sheetName val="Entity types"/>
      <sheetName val="Permissions to roles"/>
      <sheetName val="Languages"/>
      <sheetName val="Greek Locations"/>
      <sheetName val="International locations"/>
      <sheetName val="Nationalities"/>
      <sheetName val="Activity sectors"/>
      <sheetName val="Report types"/>
      <sheetName val="Literals"/>
      <sheetName val="Multilinguals"/>
      <sheetName val="Roles to report types"/>
      <sheetName val="Report scop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ables/table1.xml><?xml version="1.0" encoding="utf-8"?>
<table xmlns="http://schemas.openxmlformats.org/spreadsheetml/2006/main" id="2" name="UniversitiesTable" displayName="UniversitiesTable" ref="A1:M2" totalsRowShown="0">
  <autoFilter ref="A1:M2">
    <filterColumn colId="1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</autoFilter>
  <tableColumns count="13">
    <tableColumn id="1" name="ID"/>
    <tableColumn id="17" name="Name ID"/>
    <tableColumn id="2" name="Default name">
      <calculatedColumnFormula>VLOOKUP([Name ID],MultilingualsTable[],2)</calculatedColumnFormula>
    </tableColumn>
    <tableColumn id="5" name="Street"/>
    <tableColumn id="6" name="Number" dataDxfId="8"/>
    <tableColumn id="7" name="P.O.Box" dataDxfId="7"/>
    <tableColumn id="8" name="City"/>
    <tableColumn id="9" name="Country"/>
    <tableColumn id="10" name="Address type"/>
    <tableColumn id="11" name="Latitude" dataDxfId="6"/>
    <tableColumn id="12" name="Longtitude" dataDxfId="5"/>
    <tableColumn id="15" name="Location ID"/>
    <tableColumn id="16" name="Location name">
      <calculatedColumnFormula>VLOOKUP([Location ID],[1]!GreekLocationsTable[#Data],5)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DepartmentsTable" displayName="DepartmentsTable" ref="A1:E10" totalsRowShown="0">
  <autoFilter ref="A1:E10">
    <filterColumn colId="1"/>
    <filterColumn colId="2"/>
    <filterColumn colId="3"/>
    <filterColumn colId="4"/>
  </autoFilter>
  <tableColumns count="5">
    <tableColumn id="1" name="ID"/>
    <tableColumn id="7" name="University ID"/>
    <tableColumn id="6" name="University name" dataDxfId="4">
      <calculatedColumnFormula>VLOOKUP(DepartmentsTable[[#This Row],[University ID]],UniversitiesTable[],3)</calculatedColumnFormula>
    </tableColumn>
    <tableColumn id="4" name="Name ID"/>
    <tableColumn id="5" name="Default name" dataDxfId="3">
      <calculatedColumnFormula>VLOOKUP([Name ID],MultilingualsTable[],2)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DivisionsTable" displayName="DivisionsTable" ref="A1:E41" totalsRowShown="0">
  <autoFilter ref="A1:E41"/>
  <tableColumns count="5">
    <tableColumn id="1" name="Department ID"/>
    <tableColumn id="2" name="Department default name">
      <calculatedColumnFormula>VLOOKUP([Department ID], DepartmentsTable[], 5)</calculatedColumnFormula>
    </tableColumn>
    <tableColumn id="3" name="Division ID"/>
    <tableColumn id="4" name="Division name ID"/>
    <tableColumn id="5" name="Division default name" dataDxfId="2">
      <calculatedColumnFormula>VLOOKUP([Division name ID], MultilingualsTable[], 2)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LanguagesTable" displayName="LanguagesTable" ref="A1:C3" totalsRowShown="0">
  <autoFilter ref="A1:C3"/>
  <tableColumns count="3">
    <tableColumn id="1" name="ID">
      <calculatedColumnFormula>[1]!LanguagesTable[#All]</calculatedColumnFormula>
    </tableColumn>
    <tableColumn id="2" name="Name">
      <calculatedColumnFormula>[1]!LanguagesTable[#All]</calculatedColumnFormula>
    </tableColumn>
    <tableColumn id="3" name="Locale code">
      <calculatedColumnFormula>[1]!LanguagesTable[#All]</calculatedColumnFormula>
    </tableColumn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5" name="LiteralsTable" displayName="LiteralsTable" ref="A1:F101" totalsRowShown="0">
  <autoFilter ref="A1:F101">
    <filterColumn colId="5"/>
  </autoFilter>
  <tableColumns count="6">
    <tableColumn id="1" name="ID"/>
    <tableColumn id="2" name="Text"/>
    <tableColumn id="3" name="Is default"/>
    <tableColumn id="4" name="Language ID"/>
    <tableColumn id="5" name="Language" dataDxfId="1">
      <calculatedColumnFormula>VLOOKUP(LiteralsTable[[#This Row],[Language ID]],[1]!LanguagesTable[#Data],2)</calculatedColumnFormula>
    </tableColumn>
    <tableColumn id="6" name="Multilingual ID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6" name="MultilingualsTable" displayName="MultilingualsTable" ref="A1:B51" totalsRowShown="0">
  <autoFilter ref="A1:B51"/>
  <tableColumns count="2">
    <tableColumn id="1" name="ID"/>
    <tableColumn id="2" name="Default text" dataDxfId="0">
      <calculatedColumnFormula>INDEX(LiteralsTable[Text], MATCH(MultilingualsTable[[#This Row],[ID]], LiteralsTable[Multilingual ID],0))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UniversitiesSheet"/>
  <dimension ref="A1:M2"/>
  <sheetViews>
    <sheetView workbookViewId="0">
      <selection activeCell="C2" sqref="C2"/>
    </sheetView>
  </sheetViews>
  <sheetFormatPr defaultRowHeight="15"/>
  <cols>
    <col min="1" max="1" width="5.140625" bestFit="1" customWidth="1"/>
    <col min="2" max="2" width="28.140625" customWidth="1"/>
    <col min="3" max="3" width="29.5703125" customWidth="1"/>
    <col min="4" max="4" width="20.140625" bestFit="1" customWidth="1"/>
    <col min="5" max="5" width="10.5703125" customWidth="1"/>
    <col min="6" max="6" width="10.28515625" bestFit="1" customWidth="1"/>
    <col min="7" max="7" width="6.7109375" bestFit="1" customWidth="1"/>
    <col min="8" max="8" width="10.28515625" bestFit="1" customWidth="1"/>
    <col min="9" max="9" width="14.85546875" bestFit="1" customWidth="1"/>
    <col min="10" max="10" width="10.5703125" bestFit="1" customWidth="1"/>
    <col min="11" max="11" width="12.85546875" bestFit="1" customWidth="1"/>
    <col min="12" max="12" width="13.28515625" customWidth="1"/>
    <col min="13" max="13" width="43.5703125" customWidth="1"/>
  </cols>
  <sheetData>
    <row r="1" spans="1:13">
      <c r="A1" t="s">
        <v>9</v>
      </c>
      <c r="B1" t="s">
        <v>43</v>
      </c>
      <c r="C1" t="s">
        <v>42</v>
      </c>
      <c r="D1" t="s">
        <v>25</v>
      </c>
      <c r="E1" t="s">
        <v>24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35</v>
      </c>
      <c r="M1" t="s">
        <v>36</v>
      </c>
    </row>
    <row r="2" spans="1:13">
      <c r="A2">
        <v>1</v>
      </c>
      <c r="B2">
        <v>1</v>
      </c>
      <c r="C2" t="str">
        <f>VLOOKUP([Name ID],MultilingualsTable[],2)</f>
        <v>Εθνικό Μετσόβιο Πολυτεχνείο</v>
      </c>
      <c r="D2" t="s">
        <v>32</v>
      </c>
      <c r="E2" s="1">
        <v>9</v>
      </c>
      <c r="F2" s="1">
        <v>10682</v>
      </c>
      <c r="G2" t="s">
        <v>33</v>
      </c>
      <c r="H2" t="s">
        <v>34</v>
      </c>
      <c r="I2">
        <v>2</v>
      </c>
      <c r="J2" s="2">
        <v>37.977288999999999</v>
      </c>
      <c r="K2" s="2">
        <v>23.781828000000001</v>
      </c>
      <c r="L2">
        <v>15644</v>
      </c>
      <c r="M2" t="str">
        <f>VLOOKUP([Location ID],[1]!GreekLocationsTable[#Data],5)</f>
        <v>Ζωγράφος,ο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DepartmentsSheet"/>
  <dimension ref="A1:E10"/>
  <sheetViews>
    <sheetView workbookViewId="0">
      <selection activeCell="E10" sqref="E10"/>
    </sheetView>
  </sheetViews>
  <sheetFormatPr defaultRowHeight="15"/>
  <cols>
    <col min="1" max="1" width="5.140625" bestFit="1" customWidth="1"/>
    <col min="2" max="2" width="14.7109375" bestFit="1" customWidth="1"/>
    <col min="3" max="3" width="31.140625" customWidth="1"/>
    <col min="4" max="4" width="10.85546875" bestFit="1" customWidth="1"/>
    <col min="5" max="5" width="55.7109375" bestFit="1" customWidth="1"/>
  </cols>
  <sheetData>
    <row r="1" spans="1:5">
      <c r="A1" t="s">
        <v>9</v>
      </c>
      <c r="B1" t="s">
        <v>44</v>
      </c>
      <c r="C1" t="s">
        <v>45</v>
      </c>
      <c r="D1" t="s">
        <v>43</v>
      </c>
      <c r="E1" t="s">
        <v>42</v>
      </c>
    </row>
    <row r="2" spans="1:5">
      <c r="A2">
        <v>1</v>
      </c>
      <c r="B2">
        <v>1</v>
      </c>
      <c r="C2" s="3" t="str">
        <f>VLOOKUP(DepartmentsTable[[#This Row],[University ID]],UniversitiesTable[],3)</f>
        <v>Εθνικό Μετσόβιο Πολυτεχνείο</v>
      </c>
      <c r="D2">
        <v>2</v>
      </c>
      <c r="E2" s="3" t="str">
        <f>VLOOKUP([Name ID],MultilingualsTable[],2)</f>
        <v>Σχολή Πολιτικών Μηχανικών</v>
      </c>
    </row>
    <row r="3" spans="1:5">
      <c r="A3">
        <v>2</v>
      </c>
      <c r="B3">
        <v>1</v>
      </c>
      <c r="C3" s="3" t="str">
        <f>VLOOKUP(DepartmentsTable[[#This Row],[University ID]],UniversitiesTable[],3)</f>
        <v>Εθνικό Μετσόβιο Πολυτεχνείο</v>
      </c>
      <c r="D3">
        <v>3</v>
      </c>
      <c r="E3" s="3" t="str">
        <f>VLOOKUP([Name ID],MultilingualsTable[],2)</f>
        <v>Σχολή Μηχανολόγων Μηχανικών</v>
      </c>
    </row>
    <row r="4" spans="1:5">
      <c r="A4">
        <v>3</v>
      </c>
      <c r="B4">
        <v>1</v>
      </c>
      <c r="C4" s="3" t="str">
        <f>VLOOKUP(DepartmentsTable[[#This Row],[University ID]],UniversitiesTable[],3)</f>
        <v>Εθνικό Μετσόβιο Πολυτεχνείο</v>
      </c>
      <c r="D4">
        <v>4</v>
      </c>
      <c r="E4" s="3" t="str">
        <f>VLOOKUP([Name ID],MultilingualsTable[],2)</f>
        <v>Σχολή Ηλεκτρολόγων Μηχανικών &amp; Μηχανικών Υπολογιστών</v>
      </c>
    </row>
    <row r="5" spans="1:5">
      <c r="A5">
        <v>4</v>
      </c>
      <c r="B5">
        <v>1</v>
      </c>
      <c r="C5" s="3" t="str">
        <f>VLOOKUP(DepartmentsTable[[#This Row],[University ID]],UniversitiesTable[],3)</f>
        <v>Εθνικό Μετσόβιο Πολυτεχνείο</v>
      </c>
      <c r="D5">
        <v>5</v>
      </c>
      <c r="E5" s="3" t="str">
        <f>VLOOKUP([Name ID],MultilingualsTable[],2)</f>
        <v>Σχολή Αρχιτεκτόνων Μηχανικών</v>
      </c>
    </row>
    <row r="6" spans="1:5">
      <c r="A6">
        <v>5</v>
      </c>
      <c r="B6">
        <v>1</v>
      </c>
      <c r="C6" s="3" t="str">
        <f>VLOOKUP(DepartmentsTable[[#This Row],[University ID]],UniversitiesTable[],3)</f>
        <v>Εθνικό Μετσόβιο Πολυτεχνείο</v>
      </c>
      <c r="D6">
        <v>6</v>
      </c>
      <c r="E6" s="3" t="str">
        <f>VLOOKUP([Name ID],MultilingualsTable[],2)</f>
        <v>Σχολή Χημικών Μηχανικών</v>
      </c>
    </row>
    <row r="7" spans="1:5">
      <c r="A7">
        <v>6</v>
      </c>
      <c r="B7">
        <v>1</v>
      </c>
      <c r="C7" s="3" t="str">
        <f>VLOOKUP(DepartmentsTable[[#This Row],[University ID]],UniversitiesTable[],3)</f>
        <v>Εθνικό Μετσόβιο Πολυτεχνείο</v>
      </c>
      <c r="D7">
        <v>7</v>
      </c>
      <c r="E7" s="3" t="str">
        <f>VLOOKUP([Name ID],MultilingualsTable[],2)</f>
        <v>Σχολή Αγρονόμων &amp; Τοπογράφων Μηχανικών</v>
      </c>
    </row>
    <row r="8" spans="1:5">
      <c r="A8">
        <v>7</v>
      </c>
      <c r="B8">
        <v>1</v>
      </c>
      <c r="C8" s="3" t="str">
        <f>VLOOKUP(DepartmentsTable[[#This Row],[University ID]],UniversitiesTable[],3)</f>
        <v>Εθνικό Μετσόβιο Πολυτεχνείο</v>
      </c>
      <c r="D8">
        <v>8</v>
      </c>
      <c r="E8" s="3" t="str">
        <f>VLOOKUP([Name ID],MultilingualsTable[],2)</f>
        <v>Σχολή Μηχανικών Μεταλλείων Μεταλλουργών</v>
      </c>
    </row>
    <row r="9" spans="1:5">
      <c r="A9">
        <v>8</v>
      </c>
      <c r="B9">
        <v>1</v>
      </c>
      <c r="C9" s="3" t="str">
        <f>VLOOKUP(DepartmentsTable[[#This Row],[University ID]],UniversitiesTable[],3)</f>
        <v>Εθνικό Μετσόβιο Πολυτεχνείο</v>
      </c>
      <c r="D9">
        <v>9</v>
      </c>
      <c r="E9" s="3" t="str">
        <f>VLOOKUP([Name ID],MultilingualsTable[],2)</f>
        <v>Σχολή Ναυπηγών Μηχανολόγων Μηχανικών</v>
      </c>
    </row>
    <row r="10" spans="1:5">
      <c r="A10">
        <v>9</v>
      </c>
      <c r="B10">
        <v>1</v>
      </c>
      <c r="C10" s="3" t="str">
        <f>VLOOKUP(DepartmentsTable[[#This Row],[University ID]],UniversitiesTable[],3)</f>
        <v>Εθνικό Μετσόβιο Πολυτεχνείο</v>
      </c>
      <c r="D10">
        <v>10</v>
      </c>
      <c r="E10" s="3" t="str">
        <f>VLOOKUP([Name ID],MultilingualsTable[],2)</f>
        <v>Σχολή Εφαρμοσμένων Μαθηματικών &amp; Φυσικών Επιστημών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DivisionsSheet"/>
  <dimension ref="A1:E41"/>
  <sheetViews>
    <sheetView tabSelected="1" topLeftCell="A22" workbookViewId="0">
      <selection activeCell="D46" sqref="D46"/>
    </sheetView>
  </sheetViews>
  <sheetFormatPr defaultRowHeight="15"/>
  <cols>
    <col min="1" max="1" width="16.140625" customWidth="1"/>
    <col min="2" max="2" width="55.7109375" bestFit="1" customWidth="1"/>
    <col min="3" max="3" width="12.5703125" customWidth="1"/>
    <col min="4" max="4" width="18" customWidth="1"/>
    <col min="5" max="5" width="76.140625" bestFit="1" customWidth="1"/>
  </cols>
  <sheetData>
    <row r="1" spans="1:5">
      <c r="A1" t="s">
        <v>46</v>
      </c>
      <c r="B1" t="s">
        <v>47</v>
      </c>
      <c r="C1" t="s">
        <v>48</v>
      </c>
      <c r="D1" t="s">
        <v>49</v>
      </c>
      <c r="E1" t="s">
        <v>50</v>
      </c>
    </row>
    <row r="2" spans="1:5">
      <c r="A2">
        <v>1</v>
      </c>
      <c r="B2" t="str">
        <f>VLOOKUP([Department ID], DepartmentsTable[], 5)</f>
        <v>Σχολή Πολιτικών Μηχανικών</v>
      </c>
      <c r="C2">
        <v>1</v>
      </c>
      <c r="D2">
        <v>11</v>
      </c>
      <c r="E2" s="3" t="str">
        <f>VLOOKUP([Division name ID], MultilingualsTable[], 2)</f>
        <v>Τομέας Δομοστατικής</v>
      </c>
    </row>
    <row r="3" spans="1:5">
      <c r="A3" s="4">
        <v>1</v>
      </c>
      <c r="B3" s="4" t="str">
        <f>VLOOKUP([Department ID], DepartmentsTable[], 5)</f>
        <v>Σχολή Πολιτικών Μηχανικών</v>
      </c>
      <c r="C3">
        <v>2</v>
      </c>
      <c r="D3" s="4">
        <v>12</v>
      </c>
      <c r="E3" s="5" t="str">
        <f>VLOOKUP([Division name ID], MultilingualsTable[], 2)</f>
        <v>Τομέας Υδατικών Πόρων και Περιβάλλοντος</v>
      </c>
    </row>
    <row r="4" spans="1:5">
      <c r="A4" s="4">
        <v>1</v>
      </c>
      <c r="B4" s="4" t="str">
        <f>VLOOKUP([Department ID], DepartmentsTable[], 5)</f>
        <v>Σχολή Πολιτικών Μηχανικών</v>
      </c>
      <c r="C4">
        <v>3</v>
      </c>
      <c r="D4" s="4">
        <v>13</v>
      </c>
      <c r="E4" s="5" t="str">
        <f>VLOOKUP([Division name ID], MultilingualsTable[], 2)</f>
        <v>Τομέας Μεταφορών και Συγκοινωνιακής Υποδομής</v>
      </c>
    </row>
    <row r="5" spans="1:5">
      <c r="A5" s="4">
        <v>1</v>
      </c>
      <c r="B5" s="4" t="str">
        <f>VLOOKUP([Department ID], DepartmentsTable[], 5)</f>
        <v>Σχολή Πολιτικών Μηχανικών</v>
      </c>
      <c r="C5">
        <v>4</v>
      </c>
      <c r="D5" s="4">
        <v>14</v>
      </c>
      <c r="E5" s="5" t="str">
        <f>VLOOKUP([Division name ID], MultilingualsTable[], 2)</f>
        <v>Τομέας Γεωτεχνικής</v>
      </c>
    </row>
    <row r="6" spans="1:5">
      <c r="A6" s="4">
        <v>1</v>
      </c>
      <c r="B6" s="4" t="str">
        <f>VLOOKUP([Department ID], DepartmentsTable[], 5)</f>
        <v>Σχολή Πολιτικών Μηχανικών</v>
      </c>
      <c r="C6">
        <v>5</v>
      </c>
      <c r="D6" s="4">
        <v>15</v>
      </c>
      <c r="E6" s="5" t="str">
        <f>VLOOKUP([Division name ID], MultilingualsTable[], 2)</f>
        <v>Τομέας Προγραμματισμού &amp; Διαχείρισης Τεχνικών Έργων</v>
      </c>
    </row>
    <row r="7" spans="1:5">
      <c r="A7" s="4">
        <v>2</v>
      </c>
      <c r="B7" s="4" t="str">
        <f>VLOOKUP([Department ID], DepartmentsTable[], 5)</f>
        <v>Σχολή Μηχανολόγων Μηχανικών</v>
      </c>
      <c r="C7">
        <v>6</v>
      </c>
      <c r="D7" s="4">
        <v>16</v>
      </c>
      <c r="E7" s="5" t="str">
        <f>VLOOKUP([Division name ID], MultilingualsTable[], 2)</f>
        <v xml:space="preserve">Τομέας Βιομηχανικής Διοίκησης &amp; Επιχειρησιακής Έρευνας </v>
      </c>
    </row>
    <row r="8" spans="1:5">
      <c r="A8" s="4">
        <v>2</v>
      </c>
      <c r="B8" t="str">
        <f>VLOOKUP([Department ID], DepartmentsTable[], 5)</f>
        <v>Σχολή Μηχανολόγων Μηχανικών</v>
      </c>
      <c r="C8">
        <v>7</v>
      </c>
      <c r="D8" s="4">
        <v>17</v>
      </c>
      <c r="E8" s="3" t="str">
        <f>VLOOKUP([Division name ID], MultilingualsTable[], 2)</f>
        <v>Τομέας Θερμότητας</v>
      </c>
    </row>
    <row r="9" spans="1:5">
      <c r="A9" s="4">
        <v>2</v>
      </c>
      <c r="B9" t="str">
        <f>VLOOKUP([Department ID], DepartmentsTable[], 5)</f>
        <v>Σχολή Μηχανολόγων Μηχανικών</v>
      </c>
      <c r="C9">
        <v>8</v>
      </c>
      <c r="D9" s="4">
        <v>18</v>
      </c>
      <c r="E9" s="3" t="str">
        <f>VLOOKUP([Division name ID], MultilingualsTable[], 2)</f>
        <v>Τομέας Μηχανολογικών Κατασκευών &amp; Αυτομάτου Ελέγχου</v>
      </c>
    </row>
    <row r="10" spans="1:5">
      <c r="A10" s="4">
        <v>2</v>
      </c>
      <c r="B10" t="str">
        <f>VLOOKUP([Department ID], DepartmentsTable[], 5)</f>
        <v>Σχολή Μηχανολόγων Μηχανικών</v>
      </c>
      <c r="C10">
        <v>9</v>
      </c>
      <c r="D10" s="4">
        <v>19</v>
      </c>
      <c r="E10" s="3" t="str">
        <f>VLOOKUP([Division name ID], MultilingualsTable[], 2)</f>
        <v>Τομέας Πυρηνικής Τεχνολογίας</v>
      </c>
    </row>
    <row r="11" spans="1:5">
      <c r="A11" s="4">
        <v>2</v>
      </c>
      <c r="B11" t="str">
        <f>VLOOKUP([Department ID], DepartmentsTable[], 5)</f>
        <v>Σχολή Μηχανολόγων Μηχανικών</v>
      </c>
      <c r="C11">
        <v>10</v>
      </c>
      <c r="D11" s="4">
        <v>20</v>
      </c>
      <c r="E11" s="3" t="str">
        <f>VLOOKUP([Division name ID], MultilingualsTable[], 2)</f>
        <v>Τομέας Ρευστών</v>
      </c>
    </row>
    <row r="12" spans="1:5">
      <c r="A12" s="4">
        <v>2</v>
      </c>
      <c r="B12" t="str">
        <f>VLOOKUP([Department ID], DepartmentsTable[], 5)</f>
        <v>Σχολή Μηχανολόγων Μηχανικών</v>
      </c>
      <c r="C12">
        <v>11</v>
      </c>
      <c r="D12" s="4">
        <v>21</v>
      </c>
      <c r="E12" s="3" t="str">
        <f>VLOOKUP([Division name ID], MultilingualsTable[], 2)</f>
        <v>Τομέας Τεχνολογίας των Κατεργασιών</v>
      </c>
    </row>
    <row r="13" spans="1:5">
      <c r="A13" s="4">
        <v>3</v>
      </c>
      <c r="B13" s="4" t="str">
        <f>VLOOKUP([Department ID], DepartmentsTable[], 5)</f>
        <v>Σχολή Ηλεκτρολόγων Μηχανικών &amp; Μηχανικών Υπολογιστών</v>
      </c>
      <c r="C13">
        <v>12</v>
      </c>
      <c r="D13" s="4">
        <v>22</v>
      </c>
      <c r="E13" s="5" t="str">
        <f>VLOOKUP([Division name ID], MultilingualsTable[], 2)</f>
        <v>Τομέας Ηλεκτρομαγνητικών Εφαρμογών Ηλεκτροοπτικής και Ηλεκτρονικών Υλικών</v>
      </c>
    </row>
    <row r="14" spans="1:5">
      <c r="A14" s="4">
        <v>3</v>
      </c>
      <c r="B14" t="str">
        <f>VLOOKUP([Department ID], DepartmentsTable[], 5)</f>
        <v>Σχολή Ηλεκτρολόγων Μηχανικών &amp; Μηχανικών Υπολογιστών</v>
      </c>
      <c r="C14">
        <v>13</v>
      </c>
      <c r="D14" s="4">
        <v>23</v>
      </c>
      <c r="E14" s="3" t="str">
        <f>VLOOKUP([Division name ID], MultilingualsTable[], 2)</f>
        <v>Τομέας Συστημάτων Μετάδοσης Πληροφορίας και Τεχνολογίας Υλικών</v>
      </c>
    </row>
    <row r="15" spans="1:5">
      <c r="A15" s="4">
        <v>3</v>
      </c>
      <c r="B15" t="str">
        <f>VLOOKUP([Department ID], DepartmentsTable[], 5)</f>
        <v>Σχολή Ηλεκτρολόγων Μηχανικών &amp; Μηχανικών Υπολογιστών</v>
      </c>
      <c r="C15">
        <v>14</v>
      </c>
      <c r="D15" s="4">
        <v>24</v>
      </c>
      <c r="E15" s="3" t="str">
        <f>VLOOKUP([Division name ID], MultilingualsTable[], 2)</f>
        <v>Τομέας Σημάτων, Ελέγχου και Ρομποτικής</v>
      </c>
    </row>
    <row r="16" spans="1:5">
      <c r="A16" s="4">
        <v>3</v>
      </c>
      <c r="B16" t="str">
        <f>VLOOKUP([Department ID], DepartmentsTable[], 5)</f>
        <v>Σχολή Ηλεκτρολόγων Μηχανικών &amp; Μηχανικών Υπολογιστών</v>
      </c>
      <c r="C16">
        <v>15</v>
      </c>
      <c r="D16" s="4">
        <v>25</v>
      </c>
      <c r="E16" s="3" t="str">
        <f>VLOOKUP([Division name ID], MultilingualsTable[], 2)</f>
        <v>Τομέας Τεχνολογίας Πληροφορικής και Υπολογιστών</v>
      </c>
    </row>
    <row r="17" spans="1:5">
      <c r="A17" s="4">
        <v>3</v>
      </c>
      <c r="B17" t="str">
        <f>VLOOKUP([Department ID], DepartmentsTable[], 5)</f>
        <v>Σχολή Ηλεκτρολόγων Μηχανικών &amp; Μηχανικών Υπολογιστών</v>
      </c>
      <c r="C17">
        <v>16</v>
      </c>
      <c r="D17" s="4">
        <v>26</v>
      </c>
      <c r="E17" s="3" t="str">
        <f>VLOOKUP([Division name ID], MultilingualsTable[], 2)</f>
        <v>Τομέας Επικοινωνιών, Ηλεκτρονικής και Συστημάτων Πληροφορικής</v>
      </c>
    </row>
    <row r="18" spans="1:5">
      <c r="A18" s="4">
        <v>3</v>
      </c>
      <c r="B18" t="str">
        <f>VLOOKUP([Department ID], DepartmentsTable[], 5)</f>
        <v>Σχολή Ηλεκτρολόγων Μηχανικών &amp; Μηχανικών Υπολογιστών</v>
      </c>
      <c r="C18">
        <v>17</v>
      </c>
      <c r="D18" s="4">
        <v>27</v>
      </c>
      <c r="E18" s="3" t="str">
        <f>VLOOKUP([Division name ID], MultilingualsTable[], 2)</f>
        <v>Τομέας Ηλεκτρικής Ισχύος</v>
      </c>
    </row>
    <row r="19" spans="1:5">
      <c r="A19" s="4">
        <v>3</v>
      </c>
      <c r="B19" s="4" t="str">
        <f>VLOOKUP([Department ID], DepartmentsTable[], 5)</f>
        <v>Σχολή Ηλεκτρολόγων Μηχανικών &amp; Μηχανικών Υπολογιστών</v>
      </c>
      <c r="C19">
        <v>18</v>
      </c>
      <c r="D19" s="4">
        <v>28</v>
      </c>
      <c r="E19" s="5" t="str">
        <f>VLOOKUP([Division name ID], MultilingualsTable[], 2)</f>
        <v>Τομέας Ηλεκτρικών Βιομηχανικών Διατάξεων και Συστημάτων Αποφάσεων</v>
      </c>
    </row>
    <row r="20" spans="1:5">
      <c r="A20" s="4">
        <v>4</v>
      </c>
      <c r="B20" s="4" t="str">
        <f>VLOOKUP([Department ID], DepartmentsTable[], 5)</f>
        <v>Σχολή Αρχιτεκτόνων Μηχανικών</v>
      </c>
      <c r="C20">
        <v>19</v>
      </c>
      <c r="D20" s="4">
        <v>29</v>
      </c>
      <c r="E20" s="5" t="str">
        <f>VLOOKUP([Division name ID], MultilingualsTable[], 2)</f>
        <v>ΤΟΜΕΑΣ Ι: ΑΡΧΙΤΕΚΤΟΝΙΚΟΥ ΣΧΕΔΙΑΣΜΟΥ</v>
      </c>
    </row>
    <row r="21" spans="1:5">
      <c r="A21" s="4">
        <v>4</v>
      </c>
      <c r="B21" t="str">
        <f>VLOOKUP([Department ID], DepartmentsTable[], 5)</f>
        <v>Σχολή Αρχιτεκτόνων Μηχανικών</v>
      </c>
      <c r="C21">
        <v>20</v>
      </c>
      <c r="D21" s="4">
        <v>30</v>
      </c>
      <c r="E21" s="3" t="str">
        <f>VLOOKUP([Division name ID], MultilingualsTable[], 2)</f>
        <v>ΤΟΜΕΑΣ ΙΙ: ΠΟΛΕΟΔΟΜΙΑΣ ΚΑΙ ΧΩΡΟΤΑΞΙΑΣ</v>
      </c>
    </row>
    <row r="22" spans="1:5">
      <c r="A22" s="4">
        <v>4</v>
      </c>
      <c r="B22" t="str">
        <f>VLOOKUP([Department ID], DepartmentsTable[], 5)</f>
        <v>Σχολή Αρχιτεκτόνων Μηχανικών</v>
      </c>
      <c r="C22">
        <v>21</v>
      </c>
      <c r="D22" s="4">
        <v>31</v>
      </c>
      <c r="E22" s="3" t="str">
        <f>VLOOKUP([Division name ID], MultilingualsTable[], 2)</f>
        <v>ΤΟΜΕΑΣ ΙΙΙ: ΑΡΧΙΤΕΚΤΟΝΙΚΗΣ ΓΛΩΣΣΑΣ ΕΠΙΚΟΙΝΩΝΙΑΣ ΚΑΙ ΣΧΕΔΙΑΣΜΟΥ</v>
      </c>
    </row>
    <row r="23" spans="1:5">
      <c r="A23" s="4">
        <v>4</v>
      </c>
      <c r="B23" s="4" t="str">
        <f>VLOOKUP([Department ID], DepartmentsTable[], 5)</f>
        <v>Σχολή Αρχιτεκτόνων Μηχανικών</v>
      </c>
      <c r="C23">
        <v>22</v>
      </c>
      <c r="D23" s="4">
        <v>32</v>
      </c>
      <c r="E23" s="5" t="str">
        <f>VLOOKUP([Division name ID], MultilingualsTable[], 2)</f>
        <v>ΤΟΜΕΑΣ IV: ΣΥΝΘΕΣΕΩΝ ΤΕΧΝΟΛΟΓΙΚΗΣ ΑΙΧΜΗΣ</v>
      </c>
    </row>
    <row r="24" spans="1:5">
      <c r="A24" s="4">
        <v>5</v>
      </c>
      <c r="B24" s="4" t="str">
        <f>VLOOKUP([Department ID], DepartmentsTable[], 5)</f>
        <v>Σχολή Χημικών Μηχανικών</v>
      </c>
      <c r="C24">
        <v>23</v>
      </c>
      <c r="D24" s="4">
        <v>33</v>
      </c>
      <c r="E24" s="5" t="str">
        <f>VLOOKUP([Division name ID], MultilingualsTable[], 2)</f>
        <v>Τομέας Χημικών Επιστημών</v>
      </c>
    </row>
    <row r="25" spans="1:5">
      <c r="A25" s="4">
        <v>5</v>
      </c>
      <c r="B25" t="str">
        <f>VLOOKUP([Department ID], DepartmentsTable[], 5)</f>
        <v>Σχολή Χημικών Μηχανικών</v>
      </c>
      <c r="C25">
        <v>24</v>
      </c>
      <c r="D25" s="4">
        <v>34</v>
      </c>
      <c r="E25" s="3" t="str">
        <f>VLOOKUP([Division name ID], MultilingualsTable[], 2)</f>
        <v>Τομέας Ανάλυσης, Σχεδιασμού και Ανάπτυξης Διεργασιών και Συστημάτων</v>
      </c>
    </row>
    <row r="26" spans="1:5">
      <c r="A26" s="4">
        <v>5</v>
      </c>
      <c r="B26" t="str">
        <f>VLOOKUP([Department ID], DepartmentsTable[], 5)</f>
        <v>Σχολή Χημικών Μηχανικών</v>
      </c>
      <c r="C26">
        <v>25</v>
      </c>
      <c r="D26" s="4">
        <v>35</v>
      </c>
      <c r="E26" s="3" t="str">
        <f>VLOOKUP([Division name ID], MultilingualsTable[], 2)</f>
        <v>Τομέας Επιστήμης και Τεχνικής των Υλικών</v>
      </c>
    </row>
    <row r="27" spans="1:5">
      <c r="A27" s="4">
        <v>5</v>
      </c>
      <c r="B27" s="4" t="str">
        <f>VLOOKUP([Department ID], DepartmentsTable[], 5)</f>
        <v>Σχολή Χημικών Μηχανικών</v>
      </c>
      <c r="C27">
        <v>26</v>
      </c>
      <c r="D27" s="4">
        <v>36</v>
      </c>
      <c r="E27" s="5" t="str">
        <f>VLOOKUP([Division name ID], MultilingualsTable[], 2)</f>
        <v>Τομέας Σύνθεσης και Ανάπτυξης Βιομηχανικών Διαδικασιών</v>
      </c>
    </row>
    <row r="28" spans="1:5">
      <c r="A28" s="4">
        <v>6</v>
      </c>
      <c r="B28" s="4" t="str">
        <f>VLOOKUP([Department ID], DepartmentsTable[], 5)</f>
        <v>Σχολή Αγρονόμων &amp; Τοπογράφων Μηχανικών</v>
      </c>
      <c r="C28">
        <v>27</v>
      </c>
      <c r="D28" s="4">
        <v>37</v>
      </c>
      <c r="E28" s="5" t="str">
        <f>VLOOKUP([Division name ID], MultilingualsTable[], 2)</f>
        <v>Τομέας Τοπογραφίας</v>
      </c>
    </row>
    <row r="29" spans="1:5">
      <c r="A29">
        <v>6</v>
      </c>
      <c r="B29" t="str">
        <f>VLOOKUP([Department ID], DepartmentsTable[], 5)</f>
        <v>Σχολή Αγρονόμων &amp; Τοπογράφων Μηχανικών</v>
      </c>
      <c r="C29">
        <v>28</v>
      </c>
      <c r="D29" s="4">
        <v>38</v>
      </c>
      <c r="E29" s="3" t="str">
        <f>VLOOKUP([Division name ID], MultilingualsTable[], 2)</f>
        <v>Τομέας Γεωγραφίας και Περιφερειακού Σχεδιασμού</v>
      </c>
    </row>
    <row r="30" spans="1:5">
      <c r="A30">
        <v>6</v>
      </c>
      <c r="B30" t="str">
        <f>VLOOKUP([Department ID], DepartmentsTable[], 5)</f>
        <v>Σχολή Αγρονόμων &amp; Τοπογράφων Μηχανικών</v>
      </c>
      <c r="C30">
        <v>29</v>
      </c>
      <c r="D30" s="4">
        <v>39</v>
      </c>
      <c r="E30" s="3" t="str">
        <f>VLOOKUP([Division name ID], MultilingualsTable[], 2)</f>
        <v>Τομέας Έργων Υποδομής και Αγροτικής Ανάπτυξης</v>
      </c>
    </row>
    <row r="31" spans="1:5">
      <c r="A31">
        <v>7</v>
      </c>
      <c r="B31" t="str">
        <f>VLOOKUP([Department ID], DepartmentsTable[], 5)</f>
        <v>Σχολή Μηχανικών Μεταλλείων Μεταλλουργών</v>
      </c>
      <c r="C31">
        <v>30</v>
      </c>
      <c r="D31" s="4">
        <v>40</v>
      </c>
      <c r="E31" s="3" t="str">
        <f>VLOOKUP([Division name ID], MultilingualsTable[], 2)</f>
        <v>Τοµέας Μεταλλευτικής</v>
      </c>
    </row>
    <row r="32" spans="1:5">
      <c r="A32">
        <v>7</v>
      </c>
      <c r="B32" t="str">
        <f>VLOOKUP([Department ID], DepartmentsTable[], 5)</f>
        <v>Σχολή Μηχανικών Μεταλλείων Μεταλλουργών</v>
      </c>
      <c r="C32">
        <v>31</v>
      </c>
      <c r="D32" s="4">
        <v>41</v>
      </c>
      <c r="E32" s="3" t="str">
        <f>VLOOKUP([Division name ID], MultilingualsTable[], 2)</f>
        <v>Τομέας Μεταλλουργίας &amp; Τεχνολογίας Υλικών</v>
      </c>
    </row>
    <row r="33" spans="1:5">
      <c r="A33" s="4">
        <v>7</v>
      </c>
      <c r="B33" s="4" t="str">
        <f>VLOOKUP([Department ID], DepartmentsTable[], 5)</f>
        <v>Σχολή Μηχανικών Μεταλλείων Μεταλλουργών</v>
      </c>
      <c r="C33">
        <v>32</v>
      </c>
      <c r="D33" s="4">
        <v>42</v>
      </c>
      <c r="E33" s="5" t="str">
        <f>VLOOKUP([Division name ID], MultilingualsTable[], 2)</f>
        <v>Τομέας Γεωλογικών Επιστημών</v>
      </c>
    </row>
    <row r="34" spans="1:5">
      <c r="A34">
        <v>8</v>
      </c>
      <c r="B34" t="str">
        <f>VLOOKUP([Department ID], DepartmentsTable[], 5)</f>
        <v>Σχολή Ναυπηγών Μηχανολόγων Μηχανικών</v>
      </c>
      <c r="C34">
        <v>33</v>
      </c>
      <c r="D34" s="4">
        <v>43</v>
      </c>
      <c r="E34" s="3" t="str">
        <f>VLOOKUP([Division name ID], MultilingualsTable[], 2)</f>
        <v xml:space="preserve">Τομέας Μελέτης Πλοίου και Θαλασσίων Μεταφορών </v>
      </c>
    </row>
    <row r="35" spans="1:5">
      <c r="A35">
        <v>8</v>
      </c>
      <c r="B35" t="str">
        <f>VLOOKUP([Department ID], DepartmentsTable[], 5)</f>
        <v>Σχολή Ναυπηγών Μηχανολόγων Μηχανικών</v>
      </c>
      <c r="C35">
        <v>34</v>
      </c>
      <c r="D35" s="4">
        <v>44</v>
      </c>
      <c r="E35" s="3" t="str">
        <f>VLOOKUP([Division name ID], MultilingualsTable[], 2)</f>
        <v>Τομέας Ναυτικής και Θαλάσσιας Υδροδυναμικής</v>
      </c>
    </row>
    <row r="36" spans="1:5">
      <c r="A36">
        <v>8</v>
      </c>
      <c r="B36" t="str">
        <f>VLOOKUP([Department ID], DepartmentsTable[], 5)</f>
        <v>Σχολή Ναυπηγών Μηχανολόγων Μηχανικών</v>
      </c>
      <c r="C36">
        <v>35</v>
      </c>
      <c r="D36" s="4">
        <v>45</v>
      </c>
      <c r="E36" s="3" t="str">
        <f>VLOOKUP([Division name ID], MultilingualsTable[], 2)</f>
        <v>Τομέας Ναυτικής Μηχανολογίας</v>
      </c>
    </row>
    <row r="37" spans="1:5">
      <c r="A37" s="4">
        <v>8</v>
      </c>
      <c r="B37" s="4" t="str">
        <f>VLOOKUP([Department ID], DepartmentsTable[], 5)</f>
        <v>Σχολή Ναυπηγών Μηχανολόγων Μηχανικών</v>
      </c>
      <c r="C37">
        <v>36</v>
      </c>
      <c r="D37" s="4">
        <v>46</v>
      </c>
      <c r="E37" s="5" t="str">
        <f>VLOOKUP([Division name ID], MultilingualsTable[], 2)</f>
        <v>Τομέας Θαλασσίων Κατασκευών</v>
      </c>
    </row>
    <row r="38" spans="1:5">
      <c r="A38">
        <v>9</v>
      </c>
      <c r="B38" t="str">
        <f>VLOOKUP([Department ID], DepartmentsTable[], 5)</f>
        <v>Σχολή Εφαρμοσμένων Μαθηματικών &amp; Φυσικών Επιστημών</v>
      </c>
      <c r="C38">
        <v>37</v>
      </c>
      <c r="D38" s="4">
        <v>47</v>
      </c>
      <c r="E38" s="3" t="str">
        <f>VLOOKUP([Division name ID], MultilingualsTable[], 2)</f>
        <v>Τομέας Μαθηματικών</v>
      </c>
    </row>
    <row r="39" spans="1:5">
      <c r="A39">
        <v>9</v>
      </c>
      <c r="B39" t="str">
        <f>VLOOKUP([Department ID], DepartmentsTable[], 5)</f>
        <v>Σχολή Εφαρμοσμένων Μαθηματικών &amp; Φυσικών Επιστημών</v>
      </c>
      <c r="C39">
        <v>38</v>
      </c>
      <c r="D39" s="4">
        <v>48</v>
      </c>
      <c r="E39" s="3" t="str">
        <f>VLOOKUP([Division name ID], MultilingualsTable[], 2)</f>
        <v>Τομέας Φυσικής</v>
      </c>
    </row>
    <row r="40" spans="1:5">
      <c r="A40">
        <v>9</v>
      </c>
      <c r="B40" t="str">
        <f>VLOOKUP([Department ID], DepartmentsTable[], 5)</f>
        <v>Σχολή Εφαρμοσμένων Μαθηματικών &amp; Φυσικών Επιστημών</v>
      </c>
      <c r="C40">
        <v>39</v>
      </c>
      <c r="D40" s="4">
        <v>49</v>
      </c>
      <c r="E40" s="3" t="str">
        <f>VLOOKUP([Division name ID], MultilingualsTable[], 2)</f>
        <v>Τομέας Μηχανικής</v>
      </c>
    </row>
    <row r="41" spans="1:5">
      <c r="A41" s="4">
        <v>9</v>
      </c>
      <c r="B41" s="4" t="str">
        <f>VLOOKUP([Department ID], DepartmentsTable[], 5)</f>
        <v>Σχολή Εφαρμοσμένων Μαθηματικών &amp; Φυσικών Επιστημών</v>
      </c>
      <c r="C41">
        <v>40</v>
      </c>
      <c r="D41" s="4">
        <v>50</v>
      </c>
      <c r="E41" s="5" t="str">
        <f>VLOOKUP([Division name ID], MultilingualsTable[], 2)</f>
        <v>Τομέας Ανθρωπιστικών Κοινωνικών Επιστημών και Δικαίου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LanguagesSheet"/>
  <dimension ref="A1:C3"/>
  <sheetViews>
    <sheetView workbookViewId="0">
      <selection activeCell="C2" sqref="C2"/>
    </sheetView>
  </sheetViews>
  <sheetFormatPr defaultRowHeight="15"/>
  <cols>
    <col min="1" max="1" width="6.7109375" customWidth="1"/>
    <col min="3" max="3" width="13.42578125" customWidth="1"/>
  </cols>
  <sheetData>
    <row r="1" spans="1:3">
      <c r="A1" t="s">
        <v>9</v>
      </c>
      <c r="B1" t="s">
        <v>21</v>
      </c>
      <c r="C1" t="s">
        <v>22</v>
      </c>
    </row>
    <row r="2" spans="1:3">
      <c r="A2">
        <f>[1]!LanguagesTable[#All]</f>
        <v>1</v>
      </c>
      <c r="B2" t="str">
        <f>[1]!LanguagesTable[#All]</f>
        <v>Ελληνικά</v>
      </c>
      <c r="C2" t="str">
        <f>[1]!LanguagesTable[#All]</f>
        <v>el</v>
      </c>
    </row>
    <row r="3" spans="1:3">
      <c r="A3">
        <f>[1]!LanguagesTable[#All]</f>
        <v>2</v>
      </c>
      <c r="B3" t="str">
        <f>[1]!LanguagesTable[#All]</f>
        <v>English</v>
      </c>
      <c r="C3" t="str">
        <f>[1]!LanguagesTable[#All]</f>
        <v>en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LiteralsSheet"/>
  <dimension ref="A1:F101"/>
  <sheetViews>
    <sheetView topLeftCell="A82" workbookViewId="0">
      <selection activeCell="B101" sqref="B101"/>
    </sheetView>
  </sheetViews>
  <sheetFormatPr defaultRowHeight="15"/>
  <cols>
    <col min="1" max="1" width="5" customWidth="1"/>
    <col min="2" max="2" width="76.5703125" bestFit="1" customWidth="1"/>
    <col min="3" max="3" width="16.42578125" customWidth="1"/>
    <col min="4" max="4" width="13.85546875" bestFit="1" customWidth="1"/>
    <col min="5" max="5" width="11.7109375" customWidth="1"/>
    <col min="6" max="6" width="16.5703125" bestFit="1" customWidth="1"/>
  </cols>
  <sheetData>
    <row r="1" spans="1:6">
      <c r="A1" t="s">
        <v>9</v>
      </c>
      <c r="B1" t="s">
        <v>37</v>
      </c>
      <c r="C1" t="s">
        <v>23</v>
      </c>
      <c r="D1" t="s">
        <v>38</v>
      </c>
      <c r="E1" t="s">
        <v>39</v>
      </c>
      <c r="F1" t="s">
        <v>40</v>
      </c>
    </row>
    <row r="2" spans="1:6">
      <c r="A2">
        <v>1</v>
      </c>
      <c r="B2" t="s">
        <v>19</v>
      </c>
      <c r="C2" t="b">
        <v>1</v>
      </c>
      <c r="D2">
        <v>1</v>
      </c>
      <c r="E2" s="3" t="str">
        <f>VLOOKUP(LiteralsTable[[#This Row],[Language ID]],[1]!LanguagesTable[#Data],2)</f>
        <v>Ελληνικά</v>
      </c>
      <c r="F2">
        <v>1</v>
      </c>
    </row>
    <row r="3" spans="1:6">
      <c r="A3">
        <v>2</v>
      </c>
      <c r="B3" t="s">
        <v>20</v>
      </c>
      <c r="C3" t="b">
        <v>0</v>
      </c>
      <c r="D3">
        <v>2</v>
      </c>
      <c r="E3" s="3" t="str">
        <f>VLOOKUP(LiteralsTable[[#This Row],[Language ID]],[1]!LanguagesTable[#Data],2)</f>
        <v>English</v>
      </c>
      <c r="F3">
        <v>1</v>
      </c>
    </row>
    <row r="4" spans="1:6">
      <c r="A4">
        <v>3</v>
      </c>
      <c r="B4" s="4" t="s">
        <v>0</v>
      </c>
      <c r="C4" s="4" t="b">
        <v>1</v>
      </c>
      <c r="D4" s="4">
        <v>1</v>
      </c>
      <c r="E4" s="5" t="str">
        <f>VLOOKUP(LiteralsTable[[#This Row],[Language ID]],[1]!LanguagesTable[#Data],2)</f>
        <v>Ελληνικά</v>
      </c>
      <c r="F4" s="4">
        <v>2</v>
      </c>
    </row>
    <row r="5" spans="1:6">
      <c r="A5">
        <v>4</v>
      </c>
      <c r="B5" t="s">
        <v>10</v>
      </c>
      <c r="C5" s="4" t="b">
        <v>0</v>
      </c>
      <c r="D5" s="4">
        <v>2</v>
      </c>
      <c r="E5" s="5" t="str">
        <f>VLOOKUP(LiteralsTable[[#This Row],[Language ID]],[1]!LanguagesTable[#Data],2)</f>
        <v>English</v>
      </c>
      <c r="F5" s="4">
        <v>2</v>
      </c>
    </row>
    <row r="6" spans="1:6">
      <c r="A6">
        <v>5</v>
      </c>
      <c r="B6" t="s">
        <v>1</v>
      </c>
      <c r="C6" s="4" t="b">
        <v>1</v>
      </c>
      <c r="D6" s="4">
        <v>1</v>
      </c>
      <c r="E6" s="5" t="str">
        <f>VLOOKUP(LiteralsTable[[#This Row],[Language ID]],[1]!LanguagesTable[#Data],2)</f>
        <v>Ελληνικά</v>
      </c>
      <c r="F6" s="4">
        <v>3</v>
      </c>
    </row>
    <row r="7" spans="1:6">
      <c r="A7">
        <v>6</v>
      </c>
      <c r="B7" t="s">
        <v>11</v>
      </c>
      <c r="C7" s="4" t="b">
        <v>0</v>
      </c>
      <c r="D7" s="4">
        <v>2</v>
      </c>
      <c r="E7" s="5" t="str">
        <f>VLOOKUP(LiteralsTable[[#This Row],[Language ID]],[1]!LanguagesTable[#Data],2)</f>
        <v>English</v>
      </c>
      <c r="F7" s="4">
        <v>3</v>
      </c>
    </row>
    <row r="8" spans="1:6">
      <c r="A8">
        <v>7</v>
      </c>
      <c r="B8" t="s">
        <v>2</v>
      </c>
      <c r="C8" t="b">
        <v>1</v>
      </c>
      <c r="D8">
        <v>1</v>
      </c>
      <c r="E8" s="3" t="str">
        <f>VLOOKUP(LiteralsTable[[#This Row],[Language ID]],[1]!LanguagesTable[#Data],2)</f>
        <v>Ελληνικά</v>
      </c>
      <c r="F8">
        <v>4</v>
      </c>
    </row>
    <row r="9" spans="1:6">
      <c r="A9">
        <v>8</v>
      </c>
      <c r="B9" t="s">
        <v>12</v>
      </c>
      <c r="C9" t="b">
        <v>0</v>
      </c>
      <c r="D9">
        <v>2</v>
      </c>
      <c r="E9" s="3" t="str">
        <f>VLOOKUP(LiteralsTable[[#This Row],[Language ID]],[1]!LanguagesTable[#Data],2)</f>
        <v>English</v>
      </c>
      <c r="F9">
        <v>4</v>
      </c>
    </row>
    <row r="10" spans="1:6">
      <c r="A10">
        <v>9</v>
      </c>
      <c r="B10" t="s">
        <v>3</v>
      </c>
      <c r="C10" t="b">
        <v>1</v>
      </c>
      <c r="D10">
        <v>1</v>
      </c>
      <c r="E10" s="3" t="str">
        <f>VLOOKUP(LiteralsTable[[#This Row],[Language ID]],[1]!LanguagesTable[#Data],2)</f>
        <v>Ελληνικά</v>
      </c>
      <c r="F10">
        <v>5</v>
      </c>
    </row>
    <row r="11" spans="1:6">
      <c r="A11">
        <v>10</v>
      </c>
      <c r="B11" t="s">
        <v>13</v>
      </c>
      <c r="C11" t="b">
        <v>0</v>
      </c>
      <c r="D11">
        <v>2</v>
      </c>
      <c r="E11" s="3" t="str">
        <f>VLOOKUP(LiteralsTable[[#This Row],[Language ID]],[1]!LanguagesTable[#Data],2)</f>
        <v>English</v>
      </c>
      <c r="F11">
        <v>5</v>
      </c>
    </row>
    <row r="12" spans="1:6">
      <c r="A12">
        <v>11</v>
      </c>
      <c r="B12" t="s">
        <v>4</v>
      </c>
      <c r="C12" s="4" t="b">
        <v>1</v>
      </c>
      <c r="D12" s="4">
        <v>1</v>
      </c>
      <c r="E12" s="3" t="str">
        <f>VLOOKUP(LiteralsTable[[#This Row],[Language ID]],[1]!LanguagesTable[#Data],2)</f>
        <v>Ελληνικά</v>
      </c>
      <c r="F12">
        <v>6</v>
      </c>
    </row>
    <row r="13" spans="1:6">
      <c r="A13">
        <v>12</v>
      </c>
      <c r="B13" t="s">
        <v>14</v>
      </c>
      <c r="C13" s="4" t="b">
        <v>0</v>
      </c>
      <c r="D13" s="4">
        <v>2</v>
      </c>
      <c r="E13" s="3" t="str">
        <f>VLOOKUP(LiteralsTable[[#This Row],[Language ID]],[1]!LanguagesTable[#Data],2)</f>
        <v>English</v>
      </c>
      <c r="F13">
        <v>6</v>
      </c>
    </row>
    <row r="14" spans="1:6">
      <c r="A14">
        <v>13</v>
      </c>
      <c r="B14" t="s">
        <v>5</v>
      </c>
      <c r="C14" t="b">
        <v>1</v>
      </c>
      <c r="D14">
        <v>1</v>
      </c>
      <c r="E14" s="3" t="str">
        <f>VLOOKUP(LiteralsTable[[#This Row],[Language ID]],[1]!LanguagesTable[#Data],2)</f>
        <v>Ελληνικά</v>
      </c>
      <c r="F14">
        <v>7</v>
      </c>
    </row>
    <row r="15" spans="1:6">
      <c r="A15">
        <v>14</v>
      </c>
      <c r="B15" t="s">
        <v>15</v>
      </c>
      <c r="C15" t="b">
        <v>0</v>
      </c>
      <c r="D15">
        <v>2</v>
      </c>
      <c r="E15" s="3" t="str">
        <f>VLOOKUP(LiteralsTable[[#This Row],[Language ID]],[1]!LanguagesTable[#Data],2)</f>
        <v>English</v>
      </c>
      <c r="F15">
        <v>7</v>
      </c>
    </row>
    <row r="16" spans="1:6">
      <c r="A16">
        <v>15</v>
      </c>
      <c r="B16" t="s">
        <v>6</v>
      </c>
      <c r="C16" t="b">
        <v>1</v>
      </c>
      <c r="D16">
        <v>1</v>
      </c>
      <c r="E16" s="5" t="str">
        <f>VLOOKUP(LiteralsTable[[#This Row],[Language ID]],[1]!LanguagesTable[#Data],2)</f>
        <v>Ελληνικά</v>
      </c>
      <c r="F16" s="4">
        <v>8</v>
      </c>
    </row>
    <row r="17" spans="1:6">
      <c r="A17">
        <v>16</v>
      </c>
      <c r="B17" t="s">
        <v>16</v>
      </c>
      <c r="C17" t="b">
        <v>0</v>
      </c>
      <c r="D17">
        <v>2</v>
      </c>
      <c r="E17" s="3" t="str">
        <f>VLOOKUP(LiteralsTable[[#This Row],[Language ID]],[1]!LanguagesTable[#Data],2)</f>
        <v>English</v>
      </c>
      <c r="F17">
        <v>8</v>
      </c>
    </row>
    <row r="18" spans="1:6">
      <c r="A18">
        <v>17</v>
      </c>
      <c r="B18" t="s">
        <v>7</v>
      </c>
      <c r="C18" s="4" t="b">
        <v>1</v>
      </c>
      <c r="D18" s="4">
        <v>1</v>
      </c>
      <c r="E18" s="3" t="str">
        <f>VLOOKUP(LiteralsTable[[#This Row],[Language ID]],[1]!LanguagesTable[#Data],2)</f>
        <v>Ελληνικά</v>
      </c>
      <c r="F18">
        <v>9</v>
      </c>
    </row>
    <row r="19" spans="1:6">
      <c r="A19">
        <v>18</v>
      </c>
      <c r="B19" t="s">
        <v>17</v>
      </c>
      <c r="C19" s="4" t="b">
        <v>0</v>
      </c>
      <c r="D19" s="4">
        <v>2</v>
      </c>
      <c r="E19" s="3" t="str">
        <f>VLOOKUP(LiteralsTable[[#This Row],[Language ID]],[1]!LanguagesTable[#Data],2)</f>
        <v>English</v>
      </c>
      <c r="F19">
        <v>9</v>
      </c>
    </row>
    <row r="20" spans="1:6">
      <c r="A20">
        <v>19</v>
      </c>
      <c r="B20" t="s">
        <v>8</v>
      </c>
      <c r="C20" t="b">
        <v>1</v>
      </c>
      <c r="D20">
        <v>1</v>
      </c>
      <c r="E20" s="3" t="str">
        <f>VLOOKUP(LiteralsTable[[#This Row],[Language ID]],[1]!LanguagesTable[#Data],2)</f>
        <v>Ελληνικά</v>
      </c>
      <c r="F20">
        <v>10</v>
      </c>
    </row>
    <row r="21" spans="1:6">
      <c r="A21">
        <v>20</v>
      </c>
      <c r="B21" t="s">
        <v>18</v>
      </c>
      <c r="C21" t="b">
        <v>0</v>
      </c>
      <c r="D21">
        <v>2</v>
      </c>
      <c r="E21" s="3" t="str">
        <f>VLOOKUP(LiteralsTable[[#This Row],[Language ID]],[1]!LanguagesTable[#Data],2)</f>
        <v>English</v>
      </c>
      <c r="F21">
        <v>10</v>
      </c>
    </row>
    <row r="22" spans="1:6">
      <c r="A22">
        <v>21</v>
      </c>
      <c r="B22" s="4" t="s">
        <v>51</v>
      </c>
      <c r="C22" s="4" t="b">
        <v>1</v>
      </c>
      <c r="D22" s="4">
        <v>1</v>
      </c>
      <c r="E22" s="5" t="str">
        <f>VLOOKUP(LiteralsTable[[#This Row],[Language ID]],[1]!LanguagesTable[#Data],2)</f>
        <v>Ελληνικά</v>
      </c>
      <c r="F22" s="4">
        <v>11</v>
      </c>
    </row>
    <row r="23" spans="1:6">
      <c r="A23">
        <v>22</v>
      </c>
      <c r="B23" s="4" t="s">
        <v>52</v>
      </c>
      <c r="C23" s="4" t="b">
        <v>0</v>
      </c>
      <c r="D23" s="4">
        <v>2</v>
      </c>
      <c r="E23" s="5" t="str">
        <f>VLOOKUP(LiteralsTable[[#This Row],[Language ID]],[1]!LanguagesTable[#Data],2)</f>
        <v>English</v>
      </c>
      <c r="F23" s="4">
        <v>11</v>
      </c>
    </row>
    <row r="24" spans="1:6">
      <c r="A24">
        <v>23</v>
      </c>
      <c r="B24" s="4" t="s">
        <v>53</v>
      </c>
      <c r="C24" s="4" t="b">
        <v>1</v>
      </c>
      <c r="D24" s="4">
        <v>1</v>
      </c>
      <c r="E24" s="5" t="str">
        <f>VLOOKUP(LiteralsTable[[#This Row],[Language ID]],[1]!LanguagesTable[#Data],2)</f>
        <v>Ελληνικά</v>
      </c>
      <c r="F24" s="4">
        <v>12</v>
      </c>
    </row>
    <row r="25" spans="1:6">
      <c r="A25">
        <v>24</v>
      </c>
      <c r="B25" s="4" t="s">
        <v>54</v>
      </c>
      <c r="C25" s="4" t="b">
        <v>0</v>
      </c>
      <c r="D25" s="4">
        <v>2</v>
      </c>
      <c r="E25" s="5" t="str">
        <f>VLOOKUP(LiteralsTable[[#This Row],[Language ID]],[1]!LanguagesTable[#Data],2)</f>
        <v>English</v>
      </c>
      <c r="F25" s="4">
        <v>12</v>
      </c>
    </row>
    <row r="26" spans="1:6">
      <c r="A26">
        <v>25</v>
      </c>
      <c r="B26" s="4" t="s">
        <v>55</v>
      </c>
      <c r="C26" s="4" t="b">
        <v>1</v>
      </c>
      <c r="D26" s="4">
        <v>1</v>
      </c>
      <c r="E26" s="5" t="str">
        <f>VLOOKUP(LiteralsTable[[#This Row],[Language ID]],[1]!LanguagesTable[#Data],2)</f>
        <v>Ελληνικά</v>
      </c>
      <c r="F26" s="4">
        <v>13</v>
      </c>
    </row>
    <row r="27" spans="1:6">
      <c r="A27">
        <v>26</v>
      </c>
      <c r="B27" s="4" t="s">
        <v>56</v>
      </c>
      <c r="C27" s="4" t="b">
        <v>0</v>
      </c>
      <c r="D27" s="4">
        <v>2</v>
      </c>
      <c r="E27" s="5" t="str">
        <f>VLOOKUP(LiteralsTable[[#This Row],[Language ID]],[1]!LanguagesTable[#Data],2)</f>
        <v>English</v>
      </c>
      <c r="F27" s="4">
        <v>13</v>
      </c>
    </row>
    <row r="28" spans="1:6">
      <c r="A28">
        <v>27</v>
      </c>
      <c r="B28" s="4" t="s">
        <v>57</v>
      </c>
      <c r="C28" s="4" t="b">
        <v>1</v>
      </c>
      <c r="D28" s="4">
        <v>1</v>
      </c>
      <c r="E28" s="5" t="str">
        <f>VLOOKUP(LiteralsTable[[#This Row],[Language ID]],[1]!LanguagesTable[#Data],2)</f>
        <v>Ελληνικά</v>
      </c>
      <c r="F28" s="4">
        <v>14</v>
      </c>
    </row>
    <row r="29" spans="1:6">
      <c r="A29">
        <v>28</v>
      </c>
      <c r="B29" s="4" t="s">
        <v>58</v>
      </c>
      <c r="C29" s="4" t="b">
        <v>0</v>
      </c>
      <c r="D29" s="4">
        <v>2</v>
      </c>
      <c r="E29" s="5" t="str">
        <f>VLOOKUP(LiteralsTable[[#This Row],[Language ID]],[1]!LanguagesTable[#Data],2)</f>
        <v>English</v>
      </c>
      <c r="F29" s="4">
        <v>14</v>
      </c>
    </row>
    <row r="30" spans="1:6">
      <c r="A30">
        <v>29</v>
      </c>
      <c r="B30" s="4" t="s">
        <v>60</v>
      </c>
      <c r="C30" s="4" t="b">
        <v>1</v>
      </c>
      <c r="D30" s="4">
        <v>1</v>
      </c>
      <c r="E30" s="5" t="str">
        <f>VLOOKUP(LiteralsTable[[#This Row],[Language ID]],[1]!LanguagesTable[#Data],2)</f>
        <v>Ελληνικά</v>
      </c>
      <c r="F30" s="4">
        <v>15</v>
      </c>
    </row>
    <row r="31" spans="1:6">
      <c r="A31">
        <v>30</v>
      </c>
      <c r="B31" s="4" t="s">
        <v>59</v>
      </c>
      <c r="C31" s="4" t="b">
        <v>0</v>
      </c>
      <c r="D31" s="4">
        <v>2</v>
      </c>
      <c r="E31" s="5" t="str">
        <f>VLOOKUP(LiteralsTable[[#This Row],[Language ID]],[1]!LanguagesTable[#Data],2)</f>
        <v>English</v>
      </c>
      <c r="F31" s="4">
        <v>15</v>
      </c>
    </row>
    <row r="32" spans="1:6">
      <c r="A32">
        <v>31</v>
      </c>
      <c r="B32" s="4" t="s">
        <v>61</v>
      </c>
      <c r="C32" s="4" t="b">
        <v>1</v>
      </c>
      <c r="D32" s="4">
        <v>1</v>
      </c>
      <c r="E32" s="5" t="str">
        <f>VLOOKUP(LiteralsTable[[#This Row],[Language ID]],[1]!LanguagesTable[#Data],2)</f>
        <v>Ελληνικά</v>
      </c>
      <c r="F32" s="4">
        <v>16</v>
      </c>
    </row>
    <row r="33" spans="1:6">
      <c r="A33" s="4">
        <v>32</v>
      </c>
      <c r="B33" s="4" t="s">
        <v>62</v>
      </c>
      <c r="C33" s="4" t="b">
        <v>0</v>
      </c>
      <c r="D33" s="4">
        <v>2</v>
      </c>
      <c r="E33" s="5" t="str">
        <f>VLOOKUP(LiteralsTable[[#This Row],[Language ID]],[1]!LanguagesTable[#Data],2)</f>
        <v>English</v>
      </c>
      <c r="F33" s="4">
        <v>16</v>
      </c>
    </row>
    <row r="34" spans="1:6">
      <c r="A34" s="4">
        <v>33</v>
      </c>
      <c r="B34" s="4" t="s">
        <v>64</v>
      </c>
      <c r="C34" s="4" t="b">
        <v>1</v>
      </c>
      <c r="D34" s="4">
        <v>1</v>
      </c>
      <c r="E34" s="5" t="str">
        <f>VLOOKUP(LiteralsTable[[#This Row],[Language ID]],[1]!LanguagesTable[#Data],2)</f>
        <v>Ελληνικά</v>
      </c>
      <c r="F34" s="4">
        <v>17</v>
      </c>
    </row>
    <row r="35" spans="1:6">
      <c r="A35" s="4">
        <v>34</v>
      </c>
      <c r="B35" s="4" t="s">
        <v>63</v>
      </c>
      <c r="C35" s="4" t="b">
        <v>0</v>
      </c>
      <c r="D35" s="4">
        <v>2</v>
      </c>
      <c r="E35" s="5" t="str">
        <f>VLOOKUP(LiteralsTable[[#This Row],[Language ID]],[1]!LanguagesTable[#Data],2)</f>
        <v>English</v>
      </c>
      <c r="F35" s="4">
        <v>17</v>
      </c>
    </row>
    <row r="36" spans="1:6">
      <c r="A36" s="4">
        <v>35</v>
      </c>
      <c r="B36" s="4" t="s">
        <v>65</v>
      </c>
      <c r="C36" s="4" t="b">
        <v>1</v>
      </c>
      <c r="D36" s="4">
        <v>1</v>
      </c>
      <c r="E36" s="5" t="str">
        <f>VLOOKUP(LiteralsTable[[#This Row],[Language ID]],[1]!LanguagesTable[#Data],2)</f>
        <v>Ελληνικά</v>
      </c>
      <c r="F36" s="4">
        <v>18</v>
      </c>
    </row>
    <row r="37" spans="1:6">
      <c r="A37" s="4">
        <v>36</v>
      </c>
      <c r="B37" s="4" t="s">
        <v>66</v>
      </c>
      <c r="C37" s="4" t="b">
        <v>0</v>
      </c>
      <c r="D37" s="4">
        <v>2</v>
      </c>
      <c r="E37" s="5" t="str">
        <f>VLOOKUP(LiteralsTable[[#This Row],[Language ID]],[1]!LanguagesTable[#Data],2)</f>
        <v>English</v>
      </c>
      <c r="F37" s="4">
        <v>18</v>
      </c>
    </row>
    <row r="38" spans="1:6">
      <c r="A38" s="4">
        <v>37</v>
      </c>
      <c r="B38" s="4" t="s">
        <v>67</v>
      </c>
      <c r="C38" s="4" t="b">
        <v>1</v>
      </c>
      <c r="D38" s="4">
        <v>1</v>
      </c>
      <c r="E38" s="5" t="str">
        <f>VLOOKUP(LiteralsTable[[#This Row],[Language ID]],[1]!LanguagesTable[#Data],2)</f>
        <v>Ελληνικά</v>
      </c>
      <c r="F38" s="4">
        <v>19</v>
      </c>
    </row>
    <row r="39" spans="1:6">
      <c r="A39" s="4">
        <v>38</v>
      </c>
      <c r="B39" s="4" t="s">
        <v>68</v>
      </c>
      <c r="C39" s="4" t="b">
        <v>0</v>
      </c>
      <c r="D39" s="4">
        <v>2</v>
      </c>
      <c r="E39" s="5" t="str">
        <f>VLOOKUP(LiteralsTable[[#This Row],[Language ID]],[1]!LanguagesTable[#Data],2)</f>
        <v>English</v>
      </c>
      <c r="F39" s="4">
        <v>19</v>
      </c>
    </row>
    <row r="40" spans="1:6">
      <c r="A40" s="4">
        <v>39</v>
      </c>
      <c r="B40" s="4" t="s">
        <v>69</v>
      </c>
      <c r="C40" s="4" t="b">
        <v>1</v>
      </c>
      <c r="D40" s="4">
        <v>1</v>
      </c>
      <c r="E40" s="5" t="str">
        <f>VLOOKUP(LiteralsTable[[#This Row],[Language ID]],[1]!LanguagesTable[#Data],2)</f>
        <v>Ελληνικά</v>
      </c>
      <c r="F40" s="4">
        <v>20</v>
      </c>
    </row>
    <row r="41" spans="1:6">
      <c r="A41" s="4">
        <v>40</v>
      </c>
      <c r="B41" s="4" t="s">
        <v>70</v>
      </c>
      <c r="C41" s="4" t="b">
        <v>0</v>
      </c>
      <c r="D41" s="4">
        <v>2</v>
      </c>
      <c r="E41" s="5" t="str">
        <f>VLOOKUP(LiteralsTable[[#This Row],[Language ID]],[1]!LanguagesTable[#Data],2)</f>
        <v>English</v>
      </c>
      <c r="F41" s="4">
        <v>20</v>
      </c>
    </row>
    <row r="42" spans="1:6">
      <c r="A42" s="4">
        <v>41</v>
      </c>
      <c r="B42" s="4" t="s">
        <v>71</v>
      </c>
      <c r="C42" s="4" t="b">
        <v>1</v>
      </c>
      <c r="D42" s="4">
        <v>1</v>
      </c>
      <c r="E42" s="5" t="str">
        <f>VLOOKUP(LiteralsTable[[#This Row],[Language ID]],[1]!LanguagesTable[#Data],2)</f>
        <v>Ελληνικά</v>
      </c>
      <c r="F42" s="4">
        <v>21</v>
      </c>
    </row>
    <row r="43" spans="1:6">
      <c r="A43" s="4">
        <v>42</v>
      </c>
      <c r="B43" s="4" t="s">
        <v>72</v>
      </c>
      <c r="C43" s="4" t="b">
        <v>0</v>
      </c>
      <c r="D43" s="4">
        <v>2</v>
      </c>
      <c r="E43" s="5" t="str">
        <f>VLOOKUP(LiteralsTable[[#This Row],[Language ID]],[1]!LanguagesTable[#Data],2)</f>
        <v>English</v>
      </c>
      <c r="F43" s="4">
        <v>21</v>
      </c>
    </row>
    <row r="44" spans="1:6">
      <c r="A44" s="4">
        <v>43</v>
      </c>
      <c r="B44" s="4" t="s">
        <v>73</v>
      </c>
      <c r="C44" s="4" t="b">
        <v>1</v>
      </c>
      <c r="D44" s="4">
        <v>1</v>
      </c>
      <c r="E44" s="5" t="str">
        <f>VLOOKUP(LiteralsTable[[#This Row],[Language ID]],[1]!LanguagesTable[#Data],2)</f>
        <v>Ελληνικά</v>
      </c>
      <c r="F44" s="4">
        <v>22</v>
      </c>
    </row>
    <row r="45" spans="1:6">
      <c r="A45" s="4">
        <v>44</v>
      </c>
      <c r="B45" s="4" t="s">
        <v>74</v>
      </c>
      <c r="C45" s="4" t="b">
        <v>0</v>
      </c>
      <c r="D45" s="4">
        <v>2</v>
      </c>
      <c r="E45" s="5" t="str">
        <f>VLOOKUP(LiteralsTable[[#This Row],[Language ID]],[1]!LanguagesTable[#Data],2)</f>
        <v>English</v>
      </c>
      <c r="F45" s="4">
        <v>22</v>
      </c>
    </row>
    <row r="46" spans="1:6">
      <c r="A46" s="4">
        <v>45</v>
      </c>
      <c r="B46" s="4" t="s">
        <v>76</v>
      </c>
      <c r="C46" s="4" t="b">
        <v>1</v>
      </c>
      <c r="D46" s="4">
        <v>1</v>
      </c>
      <c r="E46" s="5" t="str">
        <f>VLOOKUP(LiteralsTable[[#This Row],[Language ID]],[1]!LanguagesTable[#Data],2)</f>
        <v>Ελληνικά</v>
      </c>
      <c r="F46" s="4">
        <v>23</v>
      </c>
    </row>
    <row r="47" spans="1:6">
      <c r="A47" s="4">
        <v>46</v>
      </c>
      <c r="B47" s="4" t="s">
        <v>75</v>
      </c>
      <c r="C47" s="4" t="b">
        <v>0</v>
      </c>
      <c r="D47" s="4">
        <v>2</v>
      </c>
      <c r="E47" s="5" t="str">
        <f>VLOOKUP(LiteralsTable[[#This Row],[Language ID]],[1]!LanguagesTable[#Data],2)</f>
        <v>English</v>
      </c>
      <c r="F47" s="4">
        <v>23</v>
      </c>
    </row>
    <row r="48" spans="1:6">
      <c r="A48" s="4">
        <v>47</v>
      </c>
      <c r="B48" s="4" t="s">
        <v>77</v>
      </c>
      <c r="C48" s="4" t="b">
        <v>1</v>
      </c>
      <c r="D48" s="4">
        <v>1</v>
      </c>
      <c r="E48" s="5" t="str">
        <f>VLOOKUP(LiteralsTable[[#This Row],[Language ID]],[1]!LanguagesTable[#Data],2)</f>
        <v>Ελληνικά</v>
      </c>
      <c r="F48" s="4">
        <v>24</v>
      </c>
    </row>
    <row r="49" spans="1:6">
      <c r="A49" s="4">
        <v>48</v>
      </c>
      <c r="B49" s="4" t="s">
        <v>78</v>
      </c>
      <c r="C49" s="4" t="b">
        <v>0</v>
      </c>
      <c r="D49" s="4">
        <v>2</v>
      </c>
      <c r="E49" s="5" t="str">
        <f>VLOOKUP(LiteralsTable[[#This Row],[Language ID]],[1]!LanguagesTable[#Data],2)</f>
        <v>English</v>
      </c>
      <c r="F49" s="4">
        <v>24</v>
      </c>
    </row>
    <row r="50" spans="1:6">
      <c r="A50" s="4">
        <v>49</v>
      </c>
      <c r="B50" s="4" t="s">
        <v>79</v>
      </c>
      <c r="C50" s="4" t="b">
        <v>1</v>
      </c>
      <c r="D50" s="4">
        <v>1</v>
      </c>
      <c r="E50" s="5" t="str">
        <f>VLOOKUP(LiteralsTable[[#This Row],[Language ID]],[1]!LanguagesTable[#Data],2)</f>
        <v>Ελληνικά</v>
      </c>
      <c r="F50" s="4">
        <v>25</v>
      </c>
    </row>
    <row r="51" spans="1:6">
      <c r="A51" s="4">
        <v>50</v>
      </c>
      <c r="B51" s="4" t="s">
        <v>80</v>
      </c>
      <c r="C51" s="4" t="b">
        <v>0</v>
      </c>
      <c r="D51" s="4">
        <v>2</v>
      </c>
      <c r="E51" s="5" t="str">
        <f>VLOOKUP(LiteralsTable[[#This Row],[Language ID]],[1]!LanguagesTable[#Data],2)</f>
        <v>English</v>
      </c>
      <c r="F51" s="4">
        <v>25</v>
      </c>
    </row>
    <row r="52" spans="1:6">
      <c r="A52" s="4">
        <v>51</v>
      </c>
      <c r="B52" s="4" t="s">
        <v>82</v>
      </c>
      <c r="C52" s="4" t="b">
        <v>1</v>
      </c>
      <c r="D52" s="4">
        <v>1</v>
      </c>
      <c r="E52" s="5" t="str">
        <f>VLOOKUP(LiteralsTable[[#This Row],[Language ID]],[1]!LanguagesTable[#Data],2)</f>
        <v>Ελληνικά</v>
      </c>
      <c r="F52" s="4">
        <v>26</v>
      </c>
    </row>
    <row r="53" spans="1:6">
      <c r="A53" s="4">
        <v>52</v>
      </c>
      <c r="B53" s="4" t="s">
        <v>81</v>
      </c>
      <c r="C53" s="4" t="b">
        <v>0</v>
      </c>
      <c r="D53" s="4">
        <v>2</v>
      </c>
      <c r="E53" s="5" t="str">
        <f>VLOOKUP(LiteralsTable[[#This Row],[Language ID]],[1]!LanguagesTable[#Data],2)</f>
        <v>English</v>
      </c>
      <c r="F53" s="4">
        <v>26</v>
      </c>
    </row>
    <row r="54" spans="1:6">
      <c r="A54" s="4">
        <v>53</v>
      </c>
      <c r="B54" s="4" t="s">
        <v>83</v>
      </c>
      <c r="C54" s="4" t="b">
        <v>1</v>
      </c>
      <c r="D54" s="4">
        <v>1</v>
      </c>
      <c r="E54" s="5" t="str">
        <f>VLOOKUP(LiteralsTable[[#This Row],[Language ID]],[1]!LanguagesTable[#Data],2)</f>
        <v>Ελληνικά</v>
      </c>
      <c r="F54" s="4">
        <v>27</v>
      </c>
    </row>
    <row r="55" spans="1:6">
      <c r="A55" s="4">
        <v>54</v>
      </c>
      <c r="B55" s="4" t="s">
        <v>84</v>
      </c>
      <c r="C55" s="4" t="b">
        <v>0</v>
      </c>
      <c r="D55" s="4">
        <v>2</v>
      </c>
      <c r="E55" s="5" t="str">
        <f>VLOOKUP(LiteralsTable[[#This Row],[Language ID]],[1]!LanguagesTable[#Data],2)</f>
        <v>English</v>
      </c>
      <c r="F55" s="4">
        <v>27</v>
      </c>
    </row>
    <row r="56" spans="1:6">
      <c r="A56" s="4">
        <v>55</v>
      </c>
      <c r="B56" s="4" t="s">
        <v>85</v>
      </c>
      <c r="C56" s="4" t="b">
        <v>1</v>
      </c>
      <c r="D56" s="4">
        <v>1</v>
      </c>
      <c r="E56" s="5" t="str">
        <f>VLOOKUP(LiteralsTable[[#This Row],[Language ID]],[1]!LanguagesTable[#Data],2)</f>
        <v>Ελληνικά</v>
      </c>
      <c r="F56" s="4">
        <v>28</v>
      </c>
    </row>
    <row r="57" spans="1:6">
      <c r="A57" s="4">
        <v>56</v>
      </c>
      <c r="B57" s="4" t="s">
        <v>86</v>
      </c>
      <c r="C57" s="4" t="b">
        <v>0</v>
      </c>
      <c r="D57" s="4">
        <v>2</v>
      </c>
      <c r="E57" s="5" t="str">
        <f>VLOOKUP(LiteralsTable[[#This Row],[Language ID]],[1]!LanguagesTable[#Data],2)</f>
        <v>English</v>
      </c>
      <c r="F57" s="4">
        <v>28</v>
      </c>
    </row>
    <row r="58" spans="1:6">
      <c r="A58" s="4">
        <v>57</v>
      </c>
      <c r="B58" s="4" t="s">
        <v>87</v>
      </c>
      <c r="C58" s="4" t="b">
        <v>1</v>
      </c>
      <c r="D58" s="4">
        <v>1</v>
      </c>
      <c r="E58" s="5" t="str">
        <f>VLOOKUP(LiteralsTable[[#This Row],[Language ID]],[1]!LanguagesTable[#Data],2)</f>
        <v>Ελληνικά</v>
      </c>
      <c r="F58" s="4">
        <v>29</v>
      </c>
    </row>
    <row r="59" spans="1:6">
      <c r="A59" s="4">
        <v>58</v>
      </c>
      <c r="B59" s="4" t="s">
        <v>91</v>
      </c>
      <c r="C59" s="4" t="b">
        <v>0</v>
      </c>
      <c r="D59" s="4">
        <v>2</v>
      </c>
      <c r="E59" s="5" t="str">
        <f>VLOOKUP(LiteralsTable[[#This Row],[Language ID]],[1]!LanguagesTable[#Data],2)</f>
        <v>English</v>
      </c>
      <c r="F59" s="4">
        <v>29</v>
      </c>
    </row>
    <row r="60" spans="1:6">
      <c r="A60" s="4">
        <v>59</v>
      </c>
      <c r="B60" s="4" t="s">
        <v>88</v>
      </c>
      <c r="C60" s="4" t="b">
        <v>1</v>
      </c>
      <c r="D60" s="4">
        <v>1</v>
      </c>
      <c r="E60" s="5" t="str">
        <f>VLOOKUP(LiteralsTable[[#This Row],[Language ID]],[1]!LanguagesTable[#Data],2)</f>
        <v>Ελληνικά</v>
      </c>
      <c r="F60" s="4">
        <v>30</v>
      </c>
    </row>
    <row r="61" spans="1:6">
      <c r="A61" s="4">
        <v>60</v>
      </c>
      <c r="B61" s="4" t="s">
        <v>92</v>
      </c>
      <c r="C61" s="4" t="b">
        <v>0</v>
      </c>
      <c r="D61" s="4">
        <v>2</v>
      </c>
      <c r="E61" s="5" t="str">
        <f>VLOOKUP(LiteralsTable[[#This Row],[Language ID]],[1]!LanguagesTable[#Data],2)</f>
        <v>English</v>
      </c>
      <c r="F61" s="4">
        <v>30</v>
      </c>
    </row>
    <row r="62" spans="1:6">
      <c r="A62" s="4">
        <v>61</v>
      </c>
      <c r="B62" t="s">
        <v>89</v>
      </c>
      <c r="C62" s="4" t="b">
        <v>1</v>
      </c>
      <c r="D62" s="4">
        <v>1</v>
      </c>
      <c r="E62" s="5" t="str">
        <f>VLOOKUP(LiteralsTable[[#This Row],[Language ID]],[1]!LanguagesTable[#Data],2)</f>
        <v>Ελληνικά</v>
      </c>
      <c r="F62">
        <v>31</v>
      </c>
    </row>
    <row r="63" spans="1:6">
      <c r="A63" s="4">
        <v>62</v>
      </c>
      <c r="B63" t="s">
        <v>93</v>
      </c>
      <c r="C63" s="4" t="b">
        <v>0</v>
      </c>
      <c r="D63" s="4">
        <v>2</v>
      </c>
      <c r="E63" s="5" t="str">
        <f>VLOOKUP(LiteralsTable[[#This Row],[Language ID]],[1]!LanguagesTable[#Data],2)</f>
        <v>English</v>
      </c>
      <c r="F63">
        <v>31</v>
      </c>
    </row>
    <row r="64" spans="1:6">
      <c r="A64" s="4">
        <v>63</v>
      </c>
      <c r="B64" t="s">
        <v>90</v>
      </c>
      <c r="C64" s="4" t="b">
        <v>1</v>
      </c>
      <c r="D64" s="4">
        <v>1</v>
      </c>
      <c r="E64" s="5" t="str">
        <f>VLOOKUP(LiteralsTable[[#This Row],[Language ID]],[1]!LanguagesTable[#Data],2)</f>
        <v>Ελληνικά</v>
      </c>
      <c r="F64">
        <v>32</v>
      </c>
    </row>
    <row r="65" spans="1:6">
      <c r="A65" s="4">
        <v>64</v>
      </c>
      <c r="B65" t="s">
        <v>94</v>
      </c>
      <c r="C65" s="4" t="b">
        <v>0</v>
      </c>
      <c r="D65" s="4">
        <v>2</v>
      </c>
      <c r="E65" s="5" t="str">
        <f>VLOOKUP(LiteralsTable[[#This Row],[Language ID]],[1]!LanguagesTable[#Data],2)</f>
        <v>English</v>
      </c>
      <c r="F65">
        <v>32</v>
      </c>
    </row>
    <row r="66" spans="1:6">
      <c r="A66" s="4">
        <v>65</v>
      </c>
      <c r="B66" t="s">
        <v>95</v>
      </c>
      <c r="C66" s="4" t="b">
        <v>1</v>
      </c>
      <c r="D66" s="4">
        <v>1</v>
      </c>
      <c r="E66" s="5" t="str">
        <f>VLOOKUP(LiteralsTable[[#This Row],[Language ID]],[1]!LanguagesTable[#Data],2)</f>
        <v>Ελληνικά</v>
      </c>
      <c r="F66">
        <v>33</v>
      </c>
    </row>
    <row r="67" spans="1:6">
      <c r="A67" s="4">
        <v>66</v>
      </c>
      <c r="B67" t="s">
        <v>96</v>
      </c>
      <c r="C67" s="4" t="b">
        <v>0</v>
      </c>
      <c r="D67" s="4">
        <v>2</v>
      </c>
      <c r="E67" s="5" t="str">
        <f>VLOOKUP(LiteralsTable[[#This Row],[Language ID]],[1]!LanguagesTable[#Data],2)</f>
        <v>English</v>
      </c>
      <c r="F67">
        <v>33</v>
      </c>
    </row>
    <row r="68" spans="1:6">
      <c r="A68" s="4">
        <v>67</v>
      </c>
      <c r="B68" t="s">
        <v>97</v>
      </c>
      <c r="C68" s="4" t="b">
        <v>1</v>
      </c>
      <c r="D68" s="4">
        <v>1</v>
      </c>
      <c r="E68" s="5" t="str">
        <f>VLOOKUP(LiteralsTable[[#This Row],[Language ID]],[1]!LanguagesTable[#Data],2)</f>
        <v>Ελληνικά</v>
      </c>
      <c r="F68">
        <v>34</v>
      </c>
    </row>
    <row r="69" spans="1:6">
      <c r="A69" s="4">
        <v>68</v>
      </c>
      <c r="B69" t="s">
        <v>98</v>
      </c>
      <c r="C69" s="4" t="b">
        <v>0</v>
      </c>
      <c r="D69" s="4">
        <v>2</v>
      </c>
      <c r="E69" s="5" t="str">
        <f>VLOOKUP(LiteralsTable[[#This Row],[Language ID]],[1]!LanguagesTable[#Data],2)</f>
        <v>English</v>
      </c>
      <c r="F69">
        <v>34</v>
      </c>
    </row>
    <row r="70" spans="1:6">
      <c r="A70" s="4">
        <v>69</v>
      </c>
      <c r="B70" s="4" t="s">
        <v>99</v>
      </c>
      <c r="C70" s="4" t="b">
        <v>1</v>
      </c>
      <c r="D70" s="4">
        <v>1</v>
      </c>
      <c r="E70" s="5" t="str">
        <f>VLOOKUP(LiteralsTable[[#This Row],[Language ID]],[1]!LanguagesTable[#Data],2)</f>
        <v>Ελληνικά</v>
      </c>
      <c r="F70" s="4">
        <v>35</v>
      </c>
    </row>
    <row r="71" spans="1:6">
      <c r="A71" s="4">
        <v>70</v>
      </c>
      <c r="B71" t="s">
        <v>100</v>
      </c>
      <c r="C71" s="4" t="b">
        <v>0</v>
      </c>
      <c r="D71" s="4">
        <v>2</v>
      </c>
      <c r="E71" s="5" t="str">
        <f>VLOOKUP(LiteralsTable[[#This Row],[Language ID]],[1]!LanguagesTable[#Data],2)</f>
        <v>English</v>
      </c>
      <c r="F71">
        <v>35</v>
      </c>
    </row>
    <row r="72" spans="1:6">
      <c r="A72" s="4">
        <v>71</v>
      </c>
      <c r="B72" t="s">
        <v>102</v>
      </c>
      <c r="C72" s="4" t="b">
        <v>1</v>
      </c>
      <c r="D72" s="4">
        <v>1</v>
      </c>
      <c r="E72" s="5" t="str">
        <f>VLOOKUP(LiteralsTable[[#This Row],[Language ID]],[1]!LanguagesTable[#Data],2)</f>
        <v>Ελληνικά</v>
      </c>
      <c r="F72">
        <v>36</v>
      </c>
    </row>
    <row r="73" spans="1:6">
      <c r="A73" s="4">
        <v>72</v>
      </c>
      <c r="B73" t="s">
        <v>101</v>
      </c>
      <c r="C73" s="4" t="b">
        <v>0</v>
      </c>
      <c r="D73" s="4">
        <v>2</v>
      </c>
      <c r="E73" s="5" t="str">
        <f>VLOOKUP(LiteralsTable[[#This Row],[Language ID]],[1]!LanguagesTable[#Data],2)</f>
        <v>English</v>
      </c>
      <c r="F73">
        <v>36</v>
      </c>
    </row>
    <row r="74" spans="1:6">
      <c r="A74" s="4">
        <v>73</v>
      </c>
      <c r="B74" t="s">
        <v>103</v>
      </c>
      <c r="C74" s="4" t="b">
        <v>1</v>
      </c>
      <c r="D74" s="4">
        <v>1</v>
      </c>
      <c r="E74" s="3" t="str">
        <f>VLOOKUP(LiteralsTable[[#This Row],[Language ID]],[1]!LanguagesTable[#Data],2)</f>
        <v>Ελληνικά</v>
      </c>
      <c r="F74">
        <v>37</v>
      </c>
    </row>
    <row r="75" spans="1:6">
      <c r="A75" s="4">
        <v>74</v>
      </c>
      <c r="B75" t="s">
        <v>104</v>
      </c>
      <c r="C75" s="4" t="b">
        <v>0</v>
      </c>
      <c r="D75" s="4">
        <v>2</v>
      </c>
      <c r="E75" s="3" t="str">
        <f>VLOOKUP(LiteralsTable[[#This Row],[Language ID]],[1]!LanguagesTable[#Data],2)</f>
        <v>English</v>
      </c>
      <c r="F75">
        <v>37</v>
      </c>
    </row>
    <row r="76" spans="1:6">
      <c r="A76" s="4">
        <v>75</v>
      </c>
      <c r="B76" t="s">
        <v>105</v>
      </c>
      <c r="C76" s="4" t="b">
        <v>1</v>
      </c>
      <c r="D76" s="4">
        <v>1</v>
      </c>
      <c r="E76" s="3" t="str">
        <f>VLOOKUP(LiteralsTable[[#This Row],[Language ID]],[1]!LanguagesTable[#Data],2)</f>
        <v>Ελληνικά</v>
      </c>
      <c r="F76">
        <v>38</v>
      </c>
    </row>
    <row r="77" spans="1:6">
      <c r="A77" s="4">
        <v>76</v>
      </c>
      <c r="B77" t="s">
        <v>106</v>
      </c>
      <c r="C77" s="4" t="b">
        <v>0</v>
      </c>
      <c r="D77" s="4">
        <v>2</v>
      </c>
      <c r="E77" s="3" t="str">
        <f>VLOOKUP(LiteralsTable[[#This Row],[Language ID]],[1]!LanguagesTable[#Data],2)</f>
        <v>English</v>
      </c>
      <c r="F77">
        <v>38</v>
      </c>
    </row>
    <row r="78" spans="1:6">
      <c r="A78" s="4">
        <v>77</v>
      </c>
      <c r="B78" t="s">
        <v>107</v>
      </c>
      <c r="C78" s="4" t="b">
        <v>1</v>
      </c>
      <c r="D78" s="4">
        <v>1</v>
      </c>
      <c r="E78" s="3" t="str">
        <f>VLOOKUP(LiteralsTable[[#This Row],[Language ID]],[1]!LanguagesTable[#Data],2)</f>
        <v>Ελληνικά</v>
      </c>
      <c r="F78">
        <v>39</v>
      </c>
    </row>
    <row r="79" spans="1:6">
      <c r="A79" s="4">
        <v>78</v>
      </c>
      <c r="B79" t="s">
        <v>108</v>
      </c>
      <c r="C79" s="4" t="b">
        <v>0</v>
      </c>
      <c r="D79" s="4">
        <v>2</v>
      </c>
      <c r="E79" s="3" t="str">
        <f>VLOOKUP(LiteralsTable[[#This Row],[Language ID]],[1]!LanguagesTable[#Data],2)</f>
        <v>English</v>
      </c>
      <c r="F79">
        <v>39</v>
      </c>
    </row>
    <row r="80" spans="1:6">
      <c r="A80" s="4">
        <v>79</v>
      </c>
      <c r="B80" s="4" t="s">
        <v>109</v>
      </c>
      <c r="C80" s="4" t="b">
        <v>1</v>
      </c>
      <c r="D80" s="4">
        <v>1</v>
      </c>
      <c r="E80" s="5" t="str">
        <f>VLOOKUP(LiteralsTable[[#This Row],[Language ID]],[1]!LanguagesTable[#Data],2)</f>
        <v>Ελληνικά</v>
      </c>
      <c r="F80" s="4">
        <v>40</v>
      </c>
    </row>
    <row r="81" spans="1:6">
      <c r="A81" s="4">
        <v>80</v>
      </c>
      <c r="B81" t="s">
        <v>112</v>
      </c>
      <c r="C81" s="4" t="b">
        <v>0</v>
      </c>
      <c r="D81" s="4">
        <v>2</v>
      </c>
      <c r="E81" s="3" t="str">
        <f>VLOOKUP(LiteralsTable[[#This Row],[Language ID]],[1]!LanguagesTable[#Data],2)</f>
        <v>English</v>
      </c>
      <c r="F81">
        <v>40</v>
      </c>
    </row>
    <row r="82" spans="1:6">
      <c r="A82" s="4">
        <v>81</v>
      </c>
      <c r="B82" t="s">
        <v>110</v>
      </c>
      <c r="C82" s="4" t="b">
        <v>1</v>
      </c>
      <c r="D82" s="4">
        <v>1</v>
      </c>
      <c r="E82" s="3" t="str">
        <f>VLOOKUP(LiteralsTable[[#This Row],[Language ID]],[1]!LanguagesTable[#Data],2)</f>
        <v>Ελληνικά</v>
      </c>
      <c r="F82">
        <v>41</v>
      </c>
    </row>
    <row r="83" spans="1:6">
      <c r="A83" s="4">
        <v>82</v>
      </c>
      <c r="B83" t="s">
        <v>113</v>
      </c>
      <c r="C83" s="4" t="b">
        <v>0</v>
      </c>
      <c r="D83" s="4">
        <v>2</v>
      </c>
      <c r="E83" s="3" t="str">
        <f>VLOOKUP(LiteralsTable[[#This Row],[Language ID]],[1]!LanguagesTable[#Data],2)</f>
        <v>English</v>
      </c>
      <c r="F83">
        <v>41</v>
      </c>
    </row>
    <row r="84" spans="1:6">
      <c r="A84" s="4">
        <v>83</v>
      </c>
      <c r="B84" t="s">
        <v>111</v>
      </c>
      <c r="C84" s="4" t="b">
        <v>1</v>
      </c>
      <c r="D84" s="4">
        <v>1</v>
      </c>
      <c r="E84" s="3" t="str">
        <f>VLOOKUP(LiteralsTable[[#This Row],[Language ID]],[1]!LanguagesTable[#Data],2)</f>
        <v>Ελληνικά</v>
      </c>
      <c r="F84">
        <v>42</v>
      </c>
    </row>
    <row r="85" spans="1:6">
      <c r="A85" s="4">
        <v>84</v>
      </c>
      <c r="B85" t="s">
        <v>114</v>
      </c>
      <c r="C85" s="4" t="b">
        <v>0</v>
      </c>
      <c r="D85" s="4">
        <v>2</v>
      </c>
      <c r="E85" s="3" t="str">
        <f>VLOOKUP(LiteralsTable[[#This Row],[Language ID]],[1]!LanguagesTable[#Data],2)</f>
        <v>English</v>
      </c>
      <c r="F85">
        <v>42</v>
      </c>
    </row>
    <row r="86" spans="1:6">
      <c r="A86" s="4">
        <v>85</v>
      </c>
      <c r="B86" t="s">
        <v>115</v>
      </c>
      <c r="C86" s="4" t="b">
        <v>1</v>
      </c>
      <c r="D86" s="4">
        <v>1</v>
      </c>
      <c r="E86" s="3" t="str">
        <f>VLOOKUP(LiteralsTable[[#This Row],[Language ID]],[1]!LanguagesTable[#Data],2)</f>
        <v>Ελληνικά</v>
      </c>
      <c r="F86">
        <v>43</v>
      </c>
    </row>
    <row r="87" spans="1:6">
      <c r="A87" s="4">
        <v>86</v>
      </c>
      <c r="B87" t="s">
        <v>119</v>
      </c>
      <c r="C87" s="4" t="b">
        <v>0</v>
      </c>
      <c r="D87" s="4">
        <v>2</v>
      </c>
      <c r="E87" s="3" t="str">
        <f>VLOOKUP(LiteralsTable[[#This Row],[Language ID]],[1]!LanguagesTable[#Data],2)</f>
        <v>English</v>
      </c>
      <c r="F87">
        <v>43</v>
      </c>
    </row>
    <row r="88" spans="1:6">
      <c r="A88" s="4">
        <v>87</v>
      </c>
      <c r="B88" t="s">
        <v>116</v>
      </c>
      <c r="C88" s="4" t="b">
        <v>1</v>
      </c>
      <c r="D88" s="4">
        <v>1</v>
      </c>
      <c r="E88" s="3" t="str">
        <f>VLOOKUP(LiteralsTable[[#This Row],[Language ID]],[1]!LanguagesTable[#Data],2)</f>
        <v>Ελληνικά</v>
      </c>
      <c r="F88">
        <v>44</v>
      </c>
    </row>
    <row r="89" spans="1:6">
      <c r="A89" s="4">
        <v>88</v>
      </c>
      <c r="B89" s="4" t="s">
        <v>120</v>
      </c>
      <c r="C89" s="4" t="b">
        <v>0</v>
      </c>
      <c r="D89" s="4">
        <v>2</v>
      </c>
      <c r="E89" s="5" t="str">
        <f>VLOOKUP(LiteralsTable[[#This Row],[Language ID]],[1]!LanguagesTable[#Data],2)</f>
        <v>English</v>
      </c>
      <c r="F89" s="4">
        <v>44</v>
      </c>
    </row>
    <row r="90" spans="1:6">
      <c r="A90" s="4">
        <v>89</v>
      </c>
      <c r="B90" t="s">
        <v>117</v>
      </c>
      <c r="C90" s="4" t="b">
        <v>1</v>
      </c>
      <c r="D90" s="4">
        <v>1</v>
      </c>
      <c r="E90" s="3" t="str">
        <f>VLOOKUP(LiteralsTable[[#This Row],[Language ID]],[1]!LanguagesTable[#Data],2)</f>
        <v>Ελληνικά</v>
      </c>
      <c r="F90">
        <v>45</v>
      </c>
    </row>
    <row r="91" spans="1:6">
      <c r="A91" s="4">
        <v>90</v>
      </c>
      <c r="B91" t="s">
        <v>121</v>
      </c>
      <c r="C91" s="4" t="b">
        <v>0</v>
      </c>
      <c r="D91" s="4">
        <v>2</v>
      </c>
      <c r="E91" s="3" t="str">
        <f>VLOOKUP(LiteralsTable[[#This Row],[Language ID]],[1]!LanguagesTable[#Data],2)</f>
        <v>English</v>
      </c>
      <c r="F91">
        <v>45</v>
      </c>
    </row>
    <row r="92" spans="1:6">
      <c r="A92" s="4">
        <v>91</v>
      </c>
      <c r="B92" t="s">
        <v>118</v>
      </c>
      <c r="C92" s="4" t="b">
        <v>1</v>
      </c>
      <c r="D92" s="4">
        <v>1</v>
      </c>
      <c r="E92" s="3" t="str">
        <f>VLOOKUP(LiteralsTable[[#This Row],[Language ID]],[1]!LanguagesTable[#Data],2)</f>
        <v>Ελληνικά</v>
      </c>
      <c r="F92">
        <v>46</v>
      </c>
    </row>
    <row r="93" spans="1:6">
      <c r="A93" s="4">
        <v>92</v>
      </c>
      <c r="B93" t="s">
        <v>122</v>
      </c>
      <c r="C93" s="4" t="b">
        <v>0</v>
      </c>
      <c r="D93" s="4">
        <v>2</v>
      </c>
      <c r="E93" s="3" t="str">
        <f>VLOOKUP(LiteralsTable[[#This Row],[Language ID]],[1]!LanguagesTable[#Data],2)</f>
        <v>English</v>
      </c>
      <c r="F93">
        <v>46</v>
      </c>
    </row>
    <row r="94" spans="1:6">
      <c r="A94" s="4">
        <v>93</v>
      </c>
      <c r="B94" t="s">
        <v>123</v>
      </c>
      <c r="C94" s="4" t="b">
        <v>1</v>
      </c>
      <c r="D94" s="4">
        <v>1</v>
      </c>
      <c r="E94" s="3" t="str">
        <f>VLOOKUP(LiteralsTable[[#This Row],[Language ID]],[1]!LanguagesTable[#Data],2)</f>
        <v>Ελληνικά</v>
      </c>
      <c r="F94">
        <v>47</v>
      </c>
    </row>
    <row r="95" spans="1:6">
      <c r="A95" s="4">
        <v>94</v>
      </c>
      <c r="B95" t="s">
        <v>124</v>
      </c>
      <c r="C95" s="4" t="b">
        <v>0</v>
      </c>
      <c r="D95" s="4">
        <v>2</v>
      </c>
      <c r="E95" s="3" t="str">
        <f>VLOOKUP(LiteralsTable[[#This Row],[Language ID]],[1]!LanguagesTable[#Data],2)</f>
        <v>English</v>
      </c>
      <c r="F95">
        <v>47</v>
      </c>
    </row>
    <row r="96" spans="1:6">
      <c r="A96" s="4">
        <v>95</v>
      </c>
      <c r="B96" t="s">
        <v>125</v>
      </c>
      <c r="C96" s="4" t="b">
        <v>1</v>
      </c>
      <c r="D96" s="4">
        <v>1</v>
      </c>
      <c r="E96" s="3" t="str">
        <f>VLOOKUP(LiteralsTable[[#This Row],[Language ID]],[1]!LanguagesTable[#Data],2)</f>
        <v>Ελληνικά</v>
      </c>
      <c r="F96">
        <v>48</v>
      </c>
    </row>
    <row r="97" spans="1:6">
      <c r="A97" s="4">
        <v>96</v>
      </c>
      <c r="B97" s="4" t="s">
        <v>126</v>
      </c>
      <c r="C97" s="4" t="b">
        <v>0</v>
      </c>
      <c r="D97" s="4">
        <v>2</v>
      </c>
      <c r="E97" s="5" t="str">
        <f>VLOOKUP(LiteralsTable[[#This Row],[Language ID]],[1]!LanguagesTable[#Data],2)</f>
        <v>English</v>
      </c>
      <c r="F97" s="4">
        <v>48</v>
      </c>
    </row>
    <row r="98" spans="1:6">
      <c r="A98" s="4">
        <v>97</v>
      </c>
      <c r="B98" t="s">
        <v>127</v>
      </c>
      <c r="C98" s="4" t="b">
        <v>1</v>
      </c>
      <c r="D98" s="4">
        <v>1</v>
      </c>
      <c r="E98" s="3" t="str">
        <f>VLOOKUP(LiteralsTable[[#This Row],[Language ID]],[1]!LanguagesTable[#Data],2)</f>
        <v>Ελληνικά</v>
      </c>
      <c r="F98">
        <v>49</v>
      </c>
    </row>
    <row r="99" spans="1:6">
      <c r="A99" s="4">
        <v>98</v>
      </c>
      <c r="B99" t="s">
        <v>128</v>
      </c>
      <c r="C99" s="4" t="b">
        <v>0</v>
      </c>
      <c r="D99" s="4">
        <v>2</v>
      </c>
      <c r="E99" s="3" t="str">
        <f>VLOOKUP(LiteralsTable[[#This Row],[Language ID]],[1]!LanguagesTable[#Data],2)</f>
        <v>English</v>
      </c>
      <c r="F99">
        <v>49</v>
      </c>
    </row>
    <row r="100" spans="1:6">
      <c r="A100" s="4">
        <v>99</v>
      </c>
      <c r="B100" t="s">
        <v>130</v>
      </c>
      <c r="C100" s="4" t="b">
        <v>1</v>
      </c>
      <c r="D100" s="4">
        <v>1</v>
      </c>
      <c r="E100" s="3" t="str">
        <f>VLOOKUP(LiteralsTable[[#This Row],[Language ID]],[1]!LanguagesTable[#Data],2)</f>
        <v>Ελληνικά</v>
      </c>
      <c r="F100">
        <v>50</v>
      </c>
    </row>
    <row r="101" spans="1:6">
      <c r="A101" s="4">
        <v>100</v>
      </c>
      <c r="B101" s="4" t="s">
        <v>129</v>
      </c>
      <c r="C101" s="4" t="b">
        <v>0</v>
      </c>
      <c r="D101" s="4">
        <v>2</v>
      </c>
      <c r="E101" s="5" t="str">
        <f>VLOOKUP(LiteralsTable[[#This Row],[Language ID]],[1]!LanguagesTable[#Data],2)</f>
        <v>English</v>
      </c>
      <c r="F101" s="4">
        <v>50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MultilingualsSheet"/>
  <dimension ref="A1:B51"/>
  <sheetViews>
    <sheetView topLeftCell="A28" workbookViewId="0">
      <selection activeCell="A48" sqref="A48"/>
    </sheetView>
  </sheetViews>
  <sheetFormatPr defaultRowHeight="15"/>
  <cols>
    <col min="1" max="1" width="8.7109375" customWidth="1"/>
    <col min="2" max="2" width="76.140625" bestFit="1" customWidth="1"/>
  </cols>
  <sheetData>
    <row r="1" spans="1:2">
      <c r="A1" t="s">
        <v>9</v>
      </c>
      <c r="B1" t="s">
        <v>41</v>
      </c>
    </row>
    <row r="2" spans="1:2">
      <c r="A2">
        <v>1</v>
      </c>
      <c r="B2" s="3" t="str">
        <f>INDEX(LiteralsTable[Text], MATCH(MultilingualsTable[[#This Row],[ID]], LiteralsTable[Multilingual ID],0))</f>
        <v>Εθνικό Μετσόβιο Πολυτεχνείο</v>
      </c>
    </row>
    <row r="3" spans="1:2">
      <c r="A3" s="4">
        <v>2</v>
      </c>
      <c r="B3" s="5" t="str">
        <f>INDEX(LiteralsTable[Text], MATCH(MultilingualsTable[[#This Row],[ID]], LiteralsTable[Multilingual ID],0))</f>
        <v>Σχολή Πολιτικών Μηχανικών</v>
      </c>
    </row>
    <row r="4" spans="1:2">
      <c r="A4">
        <v>3</v>
      </c>
      <c r="B4" s="3" t="str">
        <f>INDEX(LiteralsTable[Text], MATCH(MultilingualsTable[[#This Row],[ID]], LiteralsTable[Multilingual ID],0))</f>
        <v>Σχολή Μηχανολόγων Μηχανικών</v>
      </c>
    </row>
    <row r="5" spans="1:2">
      <c r="A5" s="4">
        <v>4</v>
      </c>
      <c r="B5" s="3" t="str">
        <f>INDEX(LiteralsTable[Text], MATCH(MultilingualsTable[[#This Row],[ID]], LiteralsTable[Multilingual ID],0))</f>
        <v>Σχολή Ηλεκτρολόγων Μηχανικών &amp; Μηχανικών Υπολογιστών</v>
      </c>
    </row>
    <row r="6" spans="1:2">
      <c r="A6">
        <v>5</v>
      </c>
      <c r="B6" s="3" t="str">
        <f>INDEX(LiteralsTable[Text], MATCH(MultilingualsTable[[#This Row],[ID]], LiteralsTable[Multilingual ID],0))</f>
        <v>Σχολή Αρχιτεκτόνων Μηχανικών</v>
      </c>
    </row>
    <row r="7" spans="1:2">
      <c r="A7" s="4">
        <v>6</v>
      </c>
      <c r="B7" s="3" t="str">
        <f>INDEX(LiteralsTable[Text], MATCH(MultilingualsTable[[#This Row],[ID]], LiteralsTable[Multilingual ID],0))</f>
        <v>Σχολή Χημικών Μηχανικών</v>
      </c>
    </row>
    <row r="8" spans="1:2">
      <c r="A8">
        <v>7</v>
      </c>
      <c r="B8" s="3" t="str">
        <f>INDEX(LiteralsTable[Text], MATCH(MultilingualsTable[[#This Row],[ID]], LiteralsTable[Multilingual ID],0))</f>
        <v>Σχολή Αγρονόμων &amp; Τοπογράφων Μηχανικών</v>
      </c>
    </row>
    <row r="9" spans="1:2">
      <c r="A9" s="4">
        <v>8</v>
      </c>
      <c r="B9" s="3" t="str">
        <f>INDEX(LiteralsTable[Text], MATCH(MultilingualsTable[[#This Row],[ID]], LiteralsTable[Multilingual ID],0))</f>
        <v>Σχολή Μηχανικών Μεταλλείων Μεταλλουργών</v>
      </c>
    </row>
    <row r="10" spans="1:2">
      <c r="A10">
        <v>9</v>
      </c>
      <c r="B10" s="3" t="str">
        <f>INDEX(LiteralsTable[Text], MATCH(MultilingualsTable[[#This Row],[ID]], LiteralsTable[Multilingual ID],0))</f>
        <v>Σχολή Ναυπηγών Μηχανολόγων Μηχανικών</v>
      </c>
    </row>
    <row r="11" spans="1:2">
      <c r="A11" s="4">
        <v>10</v>
      </c>
      <c r="B11" s="3" t="str">
        <f>INDEX(LiteralsTable[Text], MATCH(MultilingualsTable[[#This Row],[ID]], LiteralsTable[Multilingual ID],0))</f>
        <v>Σχολή Εφαρμοσμένων Μαθηματικών &amp; Φυσικών Επιστημών</v>
      </c>
    </row>
    <row r="12" spans="1:2">
      <c r="A12" s="4">
        <v>11</v>
      </c>
      <c r="B12" s="5" t="str">
        <f>INDEX(LiteralsTable[Text], MATCH(MultilingualsTable[[#This Row],[ID]], LiteralsTable[Multilingual ID],0))</f>
        <v>Τομέας Δομοστατικής</v>
      </c>
    </row>
    <row r="13" spans="1:2">
      <c r="A13" s="4">
        <v>12</v>
      </c>
      <c r="B13" s="5" t="str">
        <f>INDEX(LiteralsTable[Text], MATCH(MultilingualsTable[[#This Row],[ID]], LiteralsTable[Multilingual ID],0))</f>
        <v>Τομέας Υδατικών Πόρων και Περιβάλλοντος</v>
      </c>
    </row>
    <row r="14" spans="1:2">
      <c r="A14" s="4">
        <v>13</v>
      </c>
      <c r="B14" s="5" t="str">
        <f>INDEX(LiteralsTable[Text], MATCH(MultilingualsTable[[#This Row],[ID]], LiteralsTable[Multilingual ID],0))</f>
        <v>Τομέας Μεταφορών και Συγκοινωνιακής Υποδομής</v>
      </c>
    </row>
    <row r="15" spans="1:2">
      <c r="A15" s="4">
        <v>14</v>
      </c>
      <c r="B15" s="5" t="str">
        <f>INDEX(LiteralsTable[Text], MATCH(MultilingualsTable[[#This Row],[ID]], LiteralsTable[Multilingual ID],0))</f>
        <v>Τομέας Γεωτεχνικής</v>
      </c>
    </row>
    <row r="16" spans="1:2">
      <c r="A16" s="4">
        <v>15</v>
      </c>
      <c r="B16" s="5" t="str">
        <f>INDEX(LiteralsTable[Text], MATCH(MultilingualsTable[[#This Row],[ID]], LiteralsTable[Multilingual ID],0))</f>
        <v>Τομέας Προγραμματισμού &amp; Διαχείρισης Τεχνικών Έργων</v>
      </c>
    </row>
    <row r="17" spans="1:2">
      <c r="A17" s="4">
        <v>16</v>
      </c>
      <c r="B17" s="5" t="str">
        <f>INDEX(LiteralsTable[Text], MATCH(MultilingualsTable[[#This Row],[ID]], LiteralsTable[Multilingual ID],0))</f>
        <v xml:space="preserve">Τομέας Βιομηχανικής Διοίκησης &amp; Επιχειρησιακής Έρευνας </v>
      </c>
    </row>
    <row r="18" spans="1:2">
      <c r="A18" s="4">
        <v>17</v>
      </c>
      <c r="B18" s="5" t="str">
        <f>INDEX(LiteralsTable[Text], MATCH(MultilingualsTable[[#This Row],[ID]], LiteralsTable[Multilingual ID],0))</f>
        <v>Τομέας Θερμότητας</v>
      </c>
    </row>
    <row r="19" spans="1:2">
      <c r="A19" s="4">
        <v>18</v>
      </c>
      <c r="B19" s="5" t="str">
        <f>INDEX(LiteralsTable[Text], MATCH(MultilingualsTable[[#This Row],[ID]], LiteralsTable[Multilingual ID],0))</f>
        <v>Τομέας Μηχανολογικών Κατασκευών &amp; Αυτομάτου Ελέγχου</v>
      </c>
    </row>
    <row r="20" spans="1:2">
      <c r="A20" s="4">
        <v>19</v>
      </c>
      <c r="B20" s="5" t="str">
        <f>INDEX(LiteralsTable[Text], MATCH(MultilingualsTable[[#This Row],[ID]], LiteralsTable[Multilingual ID],0))</f>
        <v>Τομέας Πυρηνικής Τεχνολογίας</v>
      </c>
    </row>
    <row r="21" spans="1:2">
      <c r="A21" s="4">
        <v>20</v>
      </c>
      <c r="B21" s="5" t="str">
        <f>INDEX(LiteralsTable[Text], MATCH(MultilingualsTable[[#This Row],[ID]], LiteralsTable[Multilingual ID],0))</f>
        <v>Τομέας Ρευστών</v>
      </c>
    </row>
    <row r="22" spans="1:2">
      <c r="A22" s="4">
        <v>21</v>
      </c>
      <c r="B22" s="5" t="str">
        <f>INDEX(LiteralsTable[Text], MATCH(MultilingualsTable[[#This Row],[ID]], LiteralsTable[Multilingual ID],0))</f>
        <v>Τομέας Τεχνολογίας των Κατεργασιών</v>
      </c>
    </row>
    <row r="23" spans="1:2">
      <c r="A23" s="4">
        <v>22</v>
      </c>
      <c r="B23" s="5" t="str">
        <f>INDEX(LiteralsTable[Text], MATCH(MultilingualsTable[[#This Row],[ID]], LiteralsTable[Multilingual ID],0))</f>
        <v>Τομέας Ηλεκτρομαγνητικών Εφαρμογών Ηλεκτροοπτικής και Ηλεκτρονικών Υλικών</v>
      </c>
    </row>
    <row r="24" spans="1:2">
      <c r="A24" s="4">
        <v>23</v>
      </c>
      <c r="B24" s="3" t="str">
        <f>INDEX(LiteralsTable[Text], MATCH(MultilingualsTable[[#This Row],[ID]], LiteralsTable[Multilingual ID],0))</f>
        <v>Τομέας Συστημάτων Μετάδοσης Πληροφορίας και Τεχνολογίας Υλικών</v>
      </c>
    </row>
    <row r="25" spans="1:2">
      <c r="A25" s="4">
        <v>24</v>
      </c>
      <c r="B25" s="3" t="str">
        <f>INDEX(LiteralsTable[Text], MATCH(MultilingualsTable[[#This Row],[ID]], LiteralsTable[Multilingual ID],0))</f>
        <v>Τομέας Σημάτων, Ελέγχου και Ρομποτικής</v>
      </c>
    </row>
    <row r="26" spans="1:2">
      <c r="A26" s="4">
        <v>25</v>
      </c>
      <c r="B26" s="3" t="str">
        <f>INDEX(LiteralsTable[Text], MATCH(MultilingualsTable[[#This Row],[ID]], LiteralsTable[Multilingual ID],0))</f>
        <v>Τομέας Τεχνολογίας Πληροφορικής και Υπολογιστών</v>
      </c>
    </row>
    <row r="27" spans="1:2">
      <c r="A27" s="4">
        <v>26</v>
      </c>
      <c r="B27" s="3" t="str">
        <f>INDEX(LiteralsTable[Text], MATCH(MultilingualsTable[[#This Row],[ID]], LiteralsTable[Multilingual ID],0))</f>
        <v>Τομέας Επικοινωνιών, Ηλεκτρονικής και Συστημάτων Πληροφορικής</v>
      </c>
    </row>
    <row r="28" spans="1:2">
      <c r="A28" s="4">
        <v>27</v>
      </c>
      <c r="B28" s="3" t="str">
        <f>INDEX(LiteralsTable[Text], MATCH(MultilingualsTable[[#This Row],[ID]], LiteralsTable[Multilingual ID],0))</f>
        <v>Τομέας Ηλεκτρικής Ισχύος</v>
      </c>
    </row>
    <row r="29" spans="1:2">
      <c r="A29" s="4">
        <v>28</v>
      </c>
      <c r="B29" s="3" t="str">
        <f>INDEX(LiteralsTable[Text], MATCH(MultilingualsTable[[#This Row],[ID]], LiteralsTable[Multilingual ID],0))</f>
        <v>Τομέας Ηλεκτρικών Βιομηχανικών Διατάξεων και Συστημάτων Αποφάσεων</v>
      </c>
    </row>
    <row r="30" spans="1:2">
      <c r="A30" s="4">
        <v>29</v>
      </c>
      <c r="B30" s="3" t="str">
        <f>INDEX(LiteralsTable[Text], MATCH(MultilingualsTable[[#This Row],[ID]], LiteralsTable[Multilingual ID],0))</f>
        <v>ΤΟΜΕΑΣ Ι: ΑΡΧΙΤΕΚΤΟΝΙΚΟΥ ΣΧΕΔΙΑΣΜΟΥ</v>
      </c>
    </row>
    <row r="31" spans="1:2">
      <c r="A31" s="4">
        <v>30</v>
      </c>
      <c r="B31" s="3" t="str">
        <f>INDEX(LiteralsTable[Text], MATCH(MultilingualsTable[[#This Row],[ID]], LiteralsTable[Multilingual ID],0))</f>
        <v>ΤΟΜΕΑΣ ΙΙ: ΠΟΛΕΟΔΟΜΙΑΣ ΚΑΙ ΧΩΡΟΤΑΞΙΑΣ</v>
      </c>
    </row>
    <row r="32" spans="1:2">
      <c r="A32" s="4">
        <v>31</v>
      </c>
      <c r="B32" s="5" t="str">
        <f>INDEX(LiteralsTable[Text], MATCH(MultilingualsTable[[#This Row],[ID]], LiteralsTable[Multilingual ID],0))</f>
        <v>ΤΟΜΕΑΣ ΙΙΙ: ΑΡΧΙΤΕΚΤΟΝΙΚΗΣ ΓΛΩΣΣΑΣ ΕΠΙΚΟΙΝΩΝΙΑΣ ΚΑΙ ΣΧΕΔΙΑΣΜΟΥ</v>
      </c>
    </row>
    <row r="33" spans="1:2">
      <c r="A33" s="4">
        <v>32</v>
      </c>
      <c r="B33" s="5" t="str">
        <f>INDEX(LiteralsTable[Text], MATCH(MultilingualsTable[[#This Row],[ID]], LiteralsTable[Multilingual ID],0))</f>
        <v>ΤΟΜΕΑΣ IV: ΣΥΝΘΕΣΕΩΝ ΤΕΧΝΟΛΟΓΙΚΗΣ ΑΙΧΜΗΣ</v>
      </c>
    </row>
    <row r="34" spans="1:2">
      <c r="A34" s="4">
        <v>33</v>
      </c>
      <c r="B34" s="5" t="str">
        <f>INDEX(LiteralsTable[Text], MATCH(MultilingualsTable[[#This Row],[ID]], LiteralsTable[Multilingual ID],0))</f>
        <v>Τομέας Χημικών Επιστημών</v>
      </c>
    </row>
    <row r="35" spans="1:2">
      <c r="A35" s="4">
        <v>34</v>
      </c>
      <c r="B35" s="3" t="str">
        <f>INDEX(LiteralsTable[Text], MATCH(MultilingualsTable[[#This Row],[ID]], LiteralsTable[Multilingual ID],0))</f>
        <v>Τομέας Ανάλυσης, Σχεδιασμού και Ανάπτυξης Διεργασιών και Συστημάτων</v>
      </c>
    </row>
    <row r="36" spans="1:2">
      <c r="A36" s="4">
        <v>35</v>
      </c>
      <c r="B36" s="3" t="str">
        <f>INDEX(LiteralsTable[Text], MATCH(MultilingualsTable[[#This Row],[ID]], LiteralsTable[Multilingual ID],0))</f>
        <v>Τομέας Επιστήμης και Τεχνικής των Υλικών</v>
      </c>
    </row>
    <row r="37" spans="1:2">
      <c r="A37" s="4">
        <v>36</v>
      </c>
      <c r="B37" s="3" t="str">
        <f>INDEX(LiteralsTable[Text], MATCH(MultilingualsTable[[#This Row],[ID]], LiteralsTable[Multilingual ID],0))</f>
        <v>Τομέας Σύνθεσης και Ανάπτυξης Βιομηχανικών Διαδικασιών</v>
      </c>
    </row>
    <row r="38" spans="1:2">
      <c r="A38" s="4">
        <v>37</v>
      </c>
      <c r="B38" s="3" t="str">
        <f>INDEX(LiteralsTable[Text], MATCH(MultilingualsTable[[#This Row],[ID]], LiteralsTable[Multilingual ID],0))</f>
        <v>Τομέας Τοπογραφίας</v>
      </c>
    </row>
    <row r="39" spans="1:2">
      <c r="A39" s="4">
        <v>38</v>
      </c>
      <c r="B39" s="3" t="str">
        <f>INDEX(LiteralsTable[Text], MATCH(MultilingualsTable[[#This Row],[ID]], LiteralsTable[Multilingual ID],0))</f>
        <v>Τομέας Γεωγραφίας και Περιφερειακού Σχεδιασμού</v>
      </c>
    </row>
    <row r="40" spans="1:2">
      <c r="A40" s="4">
        <v>39</v>
      </c>
      <c r="B40" s="3" t="str">
        <f>INDEX(LiteralsTable[Text], MATCH(MultilingualsTable[[#This Row],[ID]], LiteralsTable[Multilingual ID],0))</f>
        <v>Τομέας Έργων Υποδομής και Αγροτικής Ανάπτυξης</v>
      </c>
    </row>
    <row r="41" spans="1:2">
      <c r="A41" s="4">
        <v>40</v>
      </c>
      <c r="B41" s="3" t="str">
        <f>INDEX(LiteralsTable[Text], MATCH(MultilingualsTable[[#This Row],[ID]], LiteralsTable[Multilingual ID],0))</f>
        <v>Τοµέας Μεταλλευτικής</v>
      </c>
    </row>
    <row r="42" spans="1:2">
      <c r="A42" s="4">
        <v>41</v>
      </c>
      <c r="B42" s="3" t="str">
        <f>INDEX(LiteralsTable[Text], MATCH(MultilingualsTable[[#This Row],[ID]], LiteralsTable[Multilingual ID],0))</f>
        <v>Τομέας Μεταλλουργίας &amp; Τεχνολογίας Υλικών</v>
      </c>
    </row>
    <row r="43" spans="1:2">
      <c r="A43" s="4">
        <v>42</v>
      </c>
      <c r="B43" s="3" t="str">
        <f>INDEX(LiteralsTable[Text], MATCH(MultilingualsTable[[#This Row],[ID]], LiteralsTable[Multilingual ID],0))</f>
        <v>Τομέας Γεωλογικών Επιστημών</v>
      </c>
    </row>
    <row r="44" spans="1:2">
      <c r="A44" s="4">
        <v>43</v>
      </c>
      <c r="B44" s="3" t="str">
        <f>INDEX(LiteralsTable[Text], MATCH(MultilingualsTable[[#This Row],[ID]], LiteralsTable[Multilingual ID],0))</f>
        <v xml:space="preserve">Τομέας Μελέτης Πλοίου και Θαλασσίων Μεταφορών </v>
      </c>
    </row>
    <row r="45" spans="1:2">
      <c r="A45" s="4">
        <v>44</v>
      </c>
      <c r="B45" s="3" t="str">
        <f>INDEX(LiteralsTable[Text], MATCH(MultilingualsTable[[#This Row],[ID]], LiteralsTable[Multilingual ID],0))</f>
        <v>Τομέας Ναυτικής και Θαλάσσιας Υδροδυναμικής</v>
      </c>
    </row>
    <row r="46" spans="1:2">
      <c r="A46" s="4">
        <v>45</v>
      </c>
      <c r="B46" s="3" t="str">
        <f>INDEX(LiteralsTable[Text], MATCH(MultilingualsTable[[#This Row],[ID]], LiteralsTable[Multilingual ID],0))</f>
        <v>Τομέας Ναυτικής Μηχανολογίας</v>
      </c>
    </row>
    <row r="47" spans="1:2">
      <c r="A47" s="4">
        <v>46</v>
      </c>
      <c r="B47" s="3" t="str">
        <f>INDEX(LiteralsTable[Text], MATCH(MultilingualsTable[[#This Row],[ID]], LiteralsTable[Multilingual ID],0))</f>
        <v>Τομέας Θαλασσίων Κατασκευών</v>
      </c>
    </row>
    <row r="48" spans="1:2">
      <c r="A48" s="4">
        <v>47</v>
      </c>
      <c r="B48" s="3" t="str">
        <f>INDEX(LiteralsTable[Text], MATCH(MultilingualsTable[[#This Row],[ID]], LiteralsTable[Multilingual ID],0))</f>
        <v>Τομέας Μαθηματικών</v>
      </c>
    </row>
    <row r="49" spans="1:2">
      <c r="A49" s="4">
        <v>48</v>
      </c>
      <c r="B49" s="3" t="str">
        <f>INDEX(LiteralsTable[Text], MATCH(MultilingualsTable[[#This Row],[ID]], LiteralsTable[Multilingual ID],0))</f>
        <v>Τομέας Φυσικής</v>
      </c>
    </row>
    <row r="50" spans="1:2">
      <c r="A50" s="4">
        <v>49</v>
      </c>
      <c r="B50" s="3" t="str">
        <f>INDEX(LiteralsTable[Text], MATCH(MultilingualsTable[[#This Row],[ID]], LiteralsTable[Multilingual ID],0))</f>
        <v>Τομέας Μηχανικής</v>
      </c>
    </row>
    <row r="51" spans="1:2">
      <c r="A51" s="4">
        <v>50</v>
      </c>
      <c r="B51" s="3" t="str">
        <f>INDEX(LiteralsTable[Text], MATCH(MultilingualsTable[[#This Row],[ID]], LiteralsTable[Multilingual ID],0))</f>
        <v>Τομέας Ανθρωπιστικών Κοινωνικών Επιστημών και Δικαίου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Universities</vt:lpstr>
      <vt:lpstr>Departments</vt:lpstr>
      <vt:lpstr>Divisions</vt:lpstr>
      <vt:lpstr>Languages</vt:lpstr>
      <vt:lpstr>Literals</vt:lpstr>
      <vt:lpstr>Multilinguals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manolis</dc:creator>
  <cp:lastModifiedBy>manolis</cp:lastModifiedBy>
  <dcterms:created xsi:type="dcterms:W3CDTF">2012-01-16T14:19:17Z</dcterms:created>
  <dcterms:modified xsi:type="dcterms:W3CDTF">2012-08-02T13:05:11Z</dcterms:modified>
</cp:coreProperties>
</file>